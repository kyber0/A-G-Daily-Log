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8" name="MONTLY Sales Report (Rev.1)" state="visible" r:id="rId4"/>
    <sheet sheetId="6" name="Inventory List" state="visible" r:id="rId5"/>
  </sheets>
  <definedNames>
    <definedName name="_xlnm.Print_Area" localSheetId="0">'MONTLY Sales Report (Rev.1)'!$B1:$I107</definedName>
  </definedNames>
  <calcPr calcId="171027"/>
</workbook>
</file>

<file path=xl/sharedStrings.xml><?xml version="1.0" encoding="utf-8"?>
<sst xmlns="http://schemas.openxmlformats.org/spreadsheetml/2006/main" count="312" uniqueCount="113">
  <si>
    <t xml:space="preserve">MONTHLY SALES REPORT </t>
  </si>
  <si>
    <t>MONTH: DECEMBER-2023</t>
  </si>
  <si>
    <t>SALES AMOUNT</t>
  </si>
  <si>
    <t>From: 01/Dec/2023      To: 31/Dec/2023</t>
  </si>
  <si>
    <t>DISCOUNT</t>
  </si>
  <si>
    <t>SALES TOTAL</t>
  </si>
  <si>
    <t>ITEM DESCRIPTION</t>
  </si>
  <si>
    <t>ITEM CATEGORY</t>
  </si>
  <si>
    <t>ITEM CODE</t>
  </si>
  <si>
    <t xml:space="preserve">PRICE
(SRP)</t>
  </si>
  <si>
    <t>QTY</t>
  </si>
  <si>
    <t xml:space="preserve">SALES 
AMOUNT</t>
  </si>
  <si>
    <t xml:space="preserve">SALES 
TOTAL</t>
  </si>
  <si>
    <t>REMARKS</t>
  </si>
  <si>
    <t xml:space="preserve">DATE
(STOCK OUT)</t>
  </si>
  <si>
    <t>INVENTORY LIST</t>
  </si>
  <si>
    <t>PRICE</t>
  </si>
  <si>
    <t>5 GAL SLIM CONTAINER W/ CAP BLUE-WOW - NEW BATCH (5/15/26)</t>
  </si>
  <si>
    <t>CONTAINERS</t>
  </si>
  <si>
    <t>10-150-105</t>
  </si>
  <si>
    <t>5 GAL SLIM CONTAINER W/ CAP GREEN</t>
  </si>
  <si>
    <t>5 GAL SLIM CONTAINER W/ CAP YELLOW</t>
  </si>
  <si>
    <t>5 GAL (PET) ROUND CONTAINER BLUE W/ CAP (CLASS A) (SOLD)</t>
  </si>
  <si>
    <t>10-110-103</t>
  </si>
  <si>
    <t>5 GAL (PET) ROUND CONTAINER BLUE W/ CAP (CLASS A) - NEW BATCH (5/15/26)</t>
  </si>
  <si>
    <t>10-110-103/10-120-103</t>
  </si>
  <si>
    <t>5 GAL SLIM CONTAINER W/ CAP BLUE (SOLD)</t>
  </si>
  <si>
    <t>BIG CAP SEAL FOR SLIM LW</t>
  </si>
  <si>
    <t>CAPSEALS</t>
  </si>
  <si>
    <t>10-100-102</t>
  </si>
  <si>
    <t>SMALL CAP SEAL FOR SLIM LW</t>
  </si>
  <si>
    <t>10-190-101</t>
  </si>
  <si>
    <t>FAUCET SEAL FOR SLIM LW</t>
  </si>
  <si>
    <t>FAUCET SEAL FOR SLIM LW (CLASS B)</t>
  </si>
  <si>
    <t>UMBRELLA SEAL FOR ROUND LW</t>
  </si>
  <si>
    <t>10-220-101</t>
  </si>
  <si>
    <t>UMBRELLA SEAL FOR ROUND LW (CLASS B)</t>
  </si>
  <si>
    <t>BIG CAP SEAL FOR SLIM GENERIC (SOLD)</t>
  </si>
  <si>
    <t>10-100-107</t>
  </si>
  <si>
    <t>SMALL CAP SEAL FOR SLIM GENERIC</t>
  </si>
  <si>
    <t>10-190-107</t>
  </si>
  <si>
    <t>FAUCET SEAL FOR SLIM GENERIC (SOLD)</t>
  </si>
  <si>
    <t>10-140-107</t>
  </si>
  <si>
    <t>FAUCET SEAL FOR SLIM GENERIC - NEW BATCH (5/15/26)</t>
  </si>
  <si>
    <t>UMBRELLA SEAL FOR ROUND GENERIC</t>
  </si>
  <si>
    <t>10-220-107</t>
  </si>
  <si>
    <t>1 L SOAP SANITIZER</t>
  </si>
  <si>
    <t>SOAP SANITIZER</t>
  </si>
  <si>
    <t>25-120-101</t>
  </si>
  <si>
    <t>SOAP SANITIZER: SOAP WOW-1LITER - NEW BATCH (5/15/26)</t>
  </si>
  <si>
    <t>25-420-101</t>
  </si>
  <si>
    <t>AUSTRALIAN SALT (SOLD)</t>
  </si>
  <si>
    <t>SALT 50KG</t>
  </si>
  <si>
    <t>19-150-100</t>
  </si>
  <si>
    <t>INDUSTRIAL SALT ART-COURSE</t>
  </si>
  <si>
    <t>INDUSTRIAL SALT ART-COURSE - NEW BATCH (5/15/26)</t>
  </si>
  <si>
    <t>5M SF 20SL LW ( MONTHLY (2PC) FOR PURIFIED/MINERAL )</t>
  </si>
  <si>
    <t>FILTERS</t>
  </si>
  <si>
    <t>14-230-116</t>
  </si>
  <si>
    <t>SEDIMENT: LWS 20" SLIM 5-MIC</t>
  </si>
  <si>
    <t>1M SF 20S LW ( QUARTERLY (2PC) FOR PURIFIED/MINERAL )</t>
  </si>
  <si>
    <t>14-230-115</t>
  </si>
  <si>
    <t>SEDIMENT: LWS 20" SLIM 1-MIC</t>
  </si>
  <si>
    <t xml:space="preserve">1M SF 10SL LW ( QUARTERLY (1PC) FOR ALKALINE )
(SEDIMENT: LWS 10" SLIM 1-MIC)</t>
  </si>
  <si>
    <t>14-230-114</t>
  </si>
  <si>
    <t>HYDROSEP CTO 20SL ( QUARTERLY (2PC) FOR PURIFIED/MINERAL )</t>
  </si>
  <si>
    <t>14-130-103</t>
  </si>
  <si>
    <t>HYDROSEP CTO 10SL ( QUARTERLY (1PC) FOR ALKALINE )</t>
  </si>
  <si>
    <t>14-130-101</t>
  </si>
  <si>
    <t>CERAMIC FILTER 10SL ( QUARTERLY (1PC) FOR ALKALINE )</t>
  </si>
  <si>
    <t>14-150-100</t>
  </si>
  <si>
    <t>BIO FILTER 10SL ( QUARTERLY (1PC) FOR ALKALINE )</t>
  </si>
  <si>
    <t>14-110-100</t>
  </si>
  <si>
    <t>WOW 20" SLIM 5-MIC</t>
  </si>
  <si>
    <t>WOW 20" SLIM 1-MIC</t>
  </si>
  <si>
    <t>WOW 10" SLIM 1-MIC</t>
  </si>
  <si>
    <t>UV LAMPS: UVC-PRO 6 GPM 14W</t>
  </si>
  <si>
    <t>27-130-102</t>
  </si>
  <si>
    <t>350 ML PET BOTTLE (WITH CAP)</t>
  </si>
  <si>
    <t>PET BOTTLE</t>
  </si>
  <si>
    <t>10-170-106</t>
  </si>
  <si>
    <t>350 ML PET BOTTLE (WITH CAP) (SOLD)</t>
  </si>
  <si>
    <t>500 ML PET BOTTLE (WITH CAP)</t>
  </si>
  <si>
    <t>10-170-115</t>
  </si>
  <si>
    <t>1000 ML PET BOTTLE (WITH CAP)</t>
  </si>
  <si>
    <t>350 ML LABEL SHRINKABLE LW</t>
  </si>
  <si>
    <t>LABELS</t>
  </si>
  <si>
    <t>11-120-119</t>
  </si>
  <si>
    <t>500 ML LABEL SHRINKABLE LW</t>
  </si>
  <si>
    <t>11-120-120</t>
  </si>
  <si>
    <t>1000 ML LABEL SHRINKABLE LW</t>
  </si>
  <si>
    <t>11-120-108</t>
  </si>
  <si>
    <t>350 ML LABEL SHRINKABLE REFRESHING</t>
  </si>
  <si>
    <t>11-120-111</t>
  </si>
  <si>
    <t>500 ML LABEL SHRINKABLE REFRESHING</t>
  </si>
  <si>
    <t>11-120-109</t>
  </si>
  <si>
    <t>STICKER LW WITH PIOLO - 5 GAL 6X4</t>
  </si>
  <si>
    <t>STICKER</t>
  </si>
  <si>
    <t>11-130-106</t>
  </si>
  <si>
    <t>BIG CAP REPLACEMENT - 5 GAL SLIM</t>
  </si>
  <si>
    <t>CAPS REPLACEMENT</t>
  </si>
  <si>
    <t>10-120-109</t>
  </si>
  <si>
    <t>SMALL CAP REPLACEMENT - 5 GAL SLIM</t>
  </si>
  <si>
    <t>10-120-111</t>
  </si>
  <si>
    <t>FAUCET REPLACEMENT - 5 GAL SLIM</t>
  </si>
  <si>
    <t>10-130-101</t>
  </si>
  <si>
    <t>WHITE CAP REPLACEMENT - 5 GAL SLIM</t>
  </si>
  <si>
    <t>10-120-110</t>
  </si>
  <si>
    <t>CAP NON SPILL T-BACK - 5 GAL PET ROUND</t>
  </si>
  <si>
    <t>10-120-103</t>
  </si>
  <si>
    <t>HOT AND COLD LIVINGWATER</t>
  </si>
  <si>
    <t>DISPENSERS</t>
  </si>
  <si>
    <t>25-240-119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</si>
</sst>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-mmm-yyyy;@"/>
    <numFmt numFmtId="165" formatCode="_(* #,##0.00_);_(* (#,##0.00);_(* &quot;-&quot;??_);_(@_)"/>
    <numFmt numFmtId="166" formatCode="&quot;$&quot;#,##0.00"/>
  </numFmts>
  <fonts count="20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family val="1"/>
      <sz val="10"/>
      <name val="Century Gothic"/>
    </font>
    <font>
      <b/>
      <color theme="1" tint="0.3499862666707358"/>
      <family val="1"/>
      <sz val="22"/>
      <name val="Century Gothic"/>
    </font>
    <font>
      <i/>
      <family val="2"/>
      <sz val="10"/>
      <name val="Century Gothic"/>
    </font>
    <font>
      <family val="1"/>
      <sz val="11"/>
      <name val="Century Gothic"/>
    </font>
    <font>
      <family val="1"/>
      <sz val="12"/>
      <name val="Century Gothic"/>
    </font>
    <font>
      <family val="1"/>
      <sz val="13"/>
      <name val="Century Gothic"/>
    </font>
    <font>
      <color theme="1"/>
      <family val="1"/>
      <sz val="13"/>
      <name val="Century Gothic"/>
    </font>
    <font>
      <family val="2"/>
      <sz val="8"/>
      <name val="Calibri"/>
    </font>
    <font>
      <color theme="1"/>
      <family val="2"/>
      <sz val="12"/>
      <name val="Arial"/>
    </font>
    <font>
      <color theme="1" tint="0.3499862666707358"/>
      <family val="1"/>
      <sz val="22"/>
      <name val="Century Gothic"/>
    </font>
    <font>
      <family val="2"/>
      <scheme val="minor"/>
      <sz val="12"/>
      <name val="Calibri"/>
    </font>
    <font>
      <color theme="0"/>
      <family val="2"/>
      <sz val="12"/>
      <name val="Arial"/>
    </font>
    <font>
      <color theme="1"/>
      <family val="1"/>
      <sz val="11"/>
      <name val="Century Gothic"/>
    </font>
    <font>
      <color theme="1"/>
      <family val="2"/>
      <scheme val="minor"/>
      <sz val="10"/>
      <name val="Calibri"/>
    </font>
    <font>
      <color theme="1"/>
      <family val="2"/>
      <scheme val="minor"/>
      <sz val="9"/>
      <name val="Calibri"/>
    </font>
    <font>
      <color rgb="FF000000"/>
      <family val="2"/>
      <sz val="9"/>
      <name val="Calibri"/>
    </font>
    <font>
      <color rgb="FF000000"/>
      <family val="2"/>
      <sz val="10"/>
      <name val="Calibri"/>
    </font>
    <font>
      <color theme="1"/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249977111117893"/>
      </left>
      <right/>
      <top style="thin">
        <color rgb="FFBFBFBF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/>
      <diagonal/>
    </border>
    <border>
      <left style="thin">
        <color rgb="FFBFBFBF"/>
      </left>
      <right/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right" vertical="center"/>
    </xf>
    <xf numFmtId="4" fontId="7" fillId="0" borderId="0" xfId="0" applyNumberFormat="1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4" fontId="7" fillId="0" borderId="3" xfId="0" applyNumberFormat="1" applyFont="1" applyBorder="1" applyAlignment="1">
      <alignment vertical="center"/>
    </xf>
    <xf numFmtId="0" fontId="7" fillId="0" borderId="0" xfId="0" applyFont="1" applyAlignment="1">
      <alignment horizontal="left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164" fontId="9" fillId="4" borderId="7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" fontId="2" fillId="0" borderId="9" xfId="0" applyNumberFormat="1" applyFont="1" applyBorder="1" applyAlignment="1">
      <alignment horizontal="right" indent="1"/>
    </xf>
    <xf numFmtId="4" fontId="2" fillId="0" borderId="10" xfId="0" applyNumberFormat="1" applyFont="1" applyBorder="1" applyAlignment="1">
      <alignment horizontal="right" indent="1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2" fillId="5" borderId="8" xfId="0" applyFont="1" applyFill="1" applyBorder="1" applyAlignment="1">
      <alignment horizontal="left" indent="1"/>
    </xf>
    <xf numFmtId="0" fontId="2" fillId="5" borderId="9" xfId="0" applyFont="1" applyFill="1" applyBorder="1" applyAlignment="1">
      <alignment horizontal="left" indent="1"/>
    </xf>
    <xf numFmtId="4" fontId="2" fillId="5" borderId="9" xfId="0" applyNumberFormat="1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4" fontId="2" fillId="5" borderId="9" xfId="0" applyNumberFormat="1" applyFont="1" applyFill="1" applyBorder="1" applyAlignment="1">
      <alignment horizontal="right" indent="1"/>
    </xf>
    <xf numFmtId="4" fontId="2" fillId="5" borderId="10" xfId="0" applyNumberFormat="1" applyFont="1" applyFill="1" applyBorder="1" applyAlignment="1">
      <alignment horizontal="right" indent="1"/>
    </xf>
    <xf numFmtId="0" fontId="2" fillId="5" borderId="11" xfId="0" applyFont="1" applyFill="1" applyBorder="1" applyAlignment="1">
      <alignment horizontal="left" indent="1"/>
    </xf>
    <xf numFmtId="0" fontId="2" fillId="5" borderId="12" xfId="0" applyFont="1" applyFill="1" applyBorder="1" applyAlignment="1">
      <alignment horizontal="left" indent="1"/>
    </xf>
    <xf numFmtId="4" fontId="2" fillId="5" borderId="12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4" fontId="2" fillId="5" borderId="12" xfId="0" applyNumberFormat="1" applyFont="1" applyFill="1" applyBorder="1" applyAlignment="1">
      <alignment horizontal="right" indent="1"/>
    </xf>
    <xf numFmtId="4" fontId="2" fillId="5" borderId="13" xfId="0" applyNumberFormat="1" applyFont="1" applyFill="1" applyBorder="1" applyAlignment="1">
      <alignment horizontal="right" indent="1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2" borderId="0" xfId="0" applyFont="1" applyFill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49" fontId="15" fillId="0" borderId="9" xfId="0" applyNumberFormat="1" applyFont="1" applyBorder="1" applyAlignment="1">
      <alignment vertical="center" wrapText="1"/>
    </xf>
    <xf numFmtId="49" fontId="16" fillId="0" borderId="9" xfId="0" applyNumberFormat="1" applyFont="1" applyBorder="1" applyAlignment="1">
      <alignment horizontal="left" vertical="center" wrapText="1"/>
    </xf>
    <xf numFmtId="0" fontId="17" fillId="0" borderId="9" xfId="0" applyFont="1" applyBorder="1"/>
    <xf numFmtId="165" fontId="18" fillId="6" borderId="14" xfId="0" applyNumberFormat="1" applyFont="1" applyFill="1" applyBorder="1" applyAlignment="1">
      <alignment horizontal="center"/>
    </xf>
    <xf numFmtId="49" fontId="15" fillId="5" borderId="9" xfId="0" applyNumberFormat="1" applyFont="1" applyFill="1" applyBorder="1" applyAlignment="1">
      <alignment vertical="center" wrapText="1"/>
    </xf>
    <xf numFmtId="49" fontId="16" fillId="5" borderId="9" xfId="0" applyNumberFormat="1" applyFont="1" applyFill="1" applyBorder="1" applyAlignment="1">
      <alignment horizontal="left" vertical="center" wrapText="1"/>
    </xf>
    <xf numFmtId="0" fontId="17" fillId="5" borderId="9" xfId="0" applyFont="1" applyFill="1" applyBorder="1"/>
    <xf numFmtId="49" fontId="16" fillId="0" borderId="9" xfId="0" applyNumberFormat="1" applyFont="1" applyBorder="1" applyAlignment="1">
      <alignment vertical="center" wrapText="1"/>
    </xf>
    <xf numFmtId="49" fontId="16" fillId="5" borderId="9" xfId="0" applyNumberFormat="1" applyFont="1" applyFill="1" applyBorder="1" applyAlignment="1">
      <alignment vertical="center" wrapText="1"/>
    </xf>
    <xf numFmtId="49" fontId="19" fillId="5" borderId="9" xfId="0" applyNumberFormat="1" applyFont="1" applyFill="1" applyBorder="1" applyAlignment="1">
      <alignment vertical="center" wrapText="1"/>
    </xf>
    <xf numFmtId="49" fontId="19" fillId="0" borderId="9" xfId="0" applyNumberFormat="1" applyFont="1" applyBorder="1" applyAlignment="1">
      <alignment vertical="center" wrapText="1"/>
    </xf>
    <xf numFmtId="49" fontId="14" fillId="0" borderId="9" xfId="0" applyNumberFormat="1" applyFont="1" applyBorder="1" applyAlignment="1">
      <alignment vertical="center" wrapText="1"/>
    </xf>
    <xf numFmtId="166" fontId="14" fillId="0" borderId="14" xfId="0" applyNumberFormat="1" applyFont="1" applyBorder="1" applyAlignment="1">
      <alignment horizontal="right" vertical="center" wrapText="1"/>
    </xf>
    <xf numFmtId="49" fontId="14" fillId="5" borderId="9" xfId="0" applyNumberFormat="1" applyFont="1" applyFill="1" applyBorder="1" applyAlignment="1">
      <alignment vertical="center" wrapText="1"/>
    </xf>
    <xf numFmtId="166" fontId="14" fillId="5" borderId="14" xfId="0" applyNumberFormat="1" applyFont="1" applyFill="1" applyBorder="1" applyAlignment="1">
      <alignment horizontal="right" vertical="center" wrapText="1"/>
    </xf>
    <xf numFmtId="49" fontId="14" fillId="0" borderId="15" xfId="0" applyNumberFormat="1" applyFont="1" applyBorder="1" applyAlignment="1">
      <alignment vertical="center" wrapText="1"/>
    </xf>
    <xf numFmtId="166" fontId="14" fillId="0" borderId="16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</sheetPr>
  <dimension ref="A1:IP105"/>
  <sheetViews>
    <sheetView workbookViewId="0" showGridLines="0" zoomScale="100" zoomScaleNormal="100">
      <selection activeCell="H23" sqref="H23"/>
    </sheetView>
  </sheetViews>
  <sheetFormatPr defaultRowHeight="15" outlineLevelRow="0" outlineLevelCol="0" x14ac:dyDescent="0.25"/>
  <cols>
    <col min="1" max="1" width="3.3984375" style="42" customWidth="1"/>
    <col min="2" max="2" width="38.3984375" style="42" customWidth="1"/>
    <col min="3" max="3" width="20.59765625" style="42" customWidth="1"/>
    <col min="4" max="4" width="27.59765625" style="42" customWidth="1"/>
    <col min="5" max="5" width="14.8984375" style="43" customWidth="1"/>
    <col min="6" max="6" width="3.3984375" style="42" customWidth="1"/>
    <col min="7" max="16384" width="10.8984375" style="42" customWidth="1"/>
  </cols>
  <sheetData>
    <row r="1" ht="45" customHeight="1" spans="1:250" s="3" customFormat="1" x14ac:dyDescent="0.25">
      <c r="A1" s="4"/>
      <c r="B1" s="44" t="s">
        <v>15</v>
      </c>
      <c r="C1" s="45"/>
      <c r="D1" s="45"/>
      <c r="E1" s="4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</row>
    <row r="2" ht="25" customHeight="1" spans="1:10" s="46" customFormat="1" x14ac:dyDescent="0.25">
      <c r="A2" s="47"/>
      <c r="B2" s="48" t="s">
        <v>6</v>
      </c>
      <c r="C2" s="48" t="s">
        <v>7</v>
      </c>
      <c r="D2" s="48" t="s">
        <v>8</v>
      </c>
      <c r="E2" s="49" t="s">
        <v>16</v>
      </c>
      <c r="F2" s="47"/>
      <c r="G2" s="46"/>
      <c r="H2" s="46"/>
      <c r="I2" s="46"/>
      <c r="J2" s="46"/>
    </row>
    <row r="3" ht="15.9" customHeight="1" spans="2:5" x14ac:dyDescent="0.25">
      <c r="B3" s="50" t="s">
        <v>17</v>
      </c>
      <c r="C3" s="51" t="s">
        <v>18</v>
      </c>
      <c r="D3" s="52" t="s">
        <v>19</v>
      </c>
      <c r="E3" s="53">
        <v>145</v>
      </c>
    </row>
    <row r="4" ht="15.9" customHeight="1" spans="2:5" x14ac:dyDescent="0.25">
      <c r="B4" s="54" t="s">
        <v>20</v>
      </c>
      <c r="C4" s="55" t="s">
        <v>18</v>
      </c>
      <c r="D4" s="56" t="s">
        <v>19</v>
      </c>
      <c r="E4" s="53">
        <v>140</v>
      </c>
    </row>
    <row r="5" ht="15.9" customHeight="1" spans="2:5" x14ac:dyDescent="0.25">
      <c r="B5" s="50" t="s">
        <v>20</v>
      </c>
      <c r="C5" s="51" t="s">
        <v>18</v>
      </c>
      <c r="D5" s="52" t="s">
        <v>19</v>
      </c>
      <c r="E5" s="53">
        <v>135</v>
      </c>
    </row>
    <row r="6" ht="15.9" customHeight="1" spans="2:5" x14ac:dyDescent="0.25">
      <c r="B6" s="54" t="s">
        <v>21</v>
      </c>
      <c r="C6" s="55" t="s">
        <v>18</v>
      </c>
      <c r="D6" s="56" t="s">
        <v>19</v>
      </c>
      <c r="E6" s="53">
        <v>140</v>
      </c>
    </row>
    <row r="7" ht="15.9" customHeight="1" spans="2:5" x14ac:dyDescent="0.25">
      <c r="B7" s="50" t="s">
        <v>22</v>
      </c>
      <c r="C7" s="51" t="s">
        <v>18</v>
      </c>
      <c r="D7" s="52" t="s">
        <v>23</v>
      </c>
      <c r="E7" s="53">
        <v>130</v>
      </c>
    </row>
    <row r="8" ht="15.9" customHeight="1" spans="2:5" x14ac:dyDescent="0.25">
      <c r="B8" s="54" t="s">
        <v>24</v>
      </c>
      <c r="C8" s="55" t="s">
        <v>18</v>
      </c>
      <c r="D8" s="56" t="s">
        <v>25</v>
      </c>
      <c r="E8" s="53">
        <v>150</v>
      </c>
    </row>
    <row r="9" ht="15.9" customHeight="1" spans="2:5" x14ac:dyDescent="0.25">
      <c r="B9" s="50" t="s">
        <v>26</v>
      </c>
      <c r="C9" s="51" t="s">
        <v>18</v>
      </c>
      <c r="D9" s="52" t="s">
        <v>19</v>
      </c>
      <c r="E9" s="53">
        <v>135</v>
      </c>
    </row>
    <row r="10" ht="15.9" customHeight="1" spans="2:5" x14ac:dyDescent="0.25">
      <c r="B10" s="54" t="s">
        <v>17</v>
      </c>
      <c r="C10" s="55" t="s">
        <v>18</v>
      </c>
      <c r="D10" s="56" t="s">
        <v>19</v>
      </c>
      <c r="E10" s="53">
        <v>145</v>
      </c>
    </row>
    <row r="11" ht="15.9" customHeight="1" spans="2:5" x14ac:dyDescent="0.25">
      <c r="B11" s="50" t="s">
        <v>20</v>
      </c>
      <c r="C11" s="51" t="s">
        <v>18</v>
      </c>
      <c r="D11" s="52" t="s">
        <v>19</v>
      </c>
      <c r="E11" s="53">
        <v>140</v>
      </c>
    </row>
    <row r="12" ht="15.9" customHeight="1" spans="2:5" x14ac:dyDescent="0.25">
      <c r="B12" s="54" t="s">
        <v>20</v>
      </c>
      <c r="C12" s="55" t="s">
        <v>18</v>
      </c>
      <c r="D12" s="56" t="s">
        <v>19</v>
      </c>
      <c r="E12" s="53">
        <v>135</v>
      </c>
    </row>
    <row r="13" ht="15.9" customHeight="1" spans="2:5" x14ac:dyDescent="0.25">
      <c r="B13" s="50" t="s">
        <v>21</v>
      </c>
      <c r="C13" s="51" t="s">
        <v>18</v>
      </c>
      <c r="D13" s="52" t="s">
        <v>19</v>
      </c>
      <c r="E13" s="53">
        <v>140</v>
      </c>
    </row>
    <row r="14" ht="15.9" customHeight="1" spans="2:5" x14ac:dyDescent="0.25">
      <c r="B14" s="54" t="s">
        <v>22</v>
      </c>
      <c r="C14" s="55" t="s">
        <v>18</v>
      </c>
      <c r="D14" s="56" t="s">
        <v>23</v>
      </c>
      <c r="E14" s="53">
        <v>130</v>
      </c>
    </row>
    <row r="15" ht="15.9" customHeight="1" spans="2:5" x14ac:dyDescent="0.25">
      <c r="B15" s="50" t="s">
        <v>24</v>
      </c>
      <c r="C15" s="51" t="s">
        <v>18</v>
      </c>
      <c r="D15" s="52" t="s">
        <v>25</v>
      </c>
      <c r="E15" s="53">
        <v>150</v>
      </c>
    </row>
    <row r="16" ht="15.9" customHeight="1" spans="2:5" x14ac:dyDescent="0.25">
      <c r="B16" s="54" t="s">
        <v>27</v>
      </c>
      <c r="C16" s="55" t="s">
        <v>28</v>
      </c>
      <c r="D16" s="56" t="s">
        <v>29</v>
      </c>
      <c r="E16" s="53">
        <v>130</v>
      </c>
    </row>
    <row r="17" ht="15.9" customHeight="1" spans="2:5" x14ac:dyDescent="0.25">
      <c r="B17" s="50" t="s">
        <v>30</v>
      </c>
      <c r="C17" s="57" t="s">
        <v>28</v>
      </c>
      <c r="D17" s="52" t="s">
        <v>31</v>
      </c>
      <c r="E17" s="53">
        <v>115</v>
      </c>
    </row>
    <row r="18" ht="15.9" customHeight="1" spans="2:5" x14ac:dyDescent="0.25">
      <c r="B18" s="54" t="s">
        <v>32</v>
      </c>
      <c r="C18" s="58" t="s">
        <v>28</v>
      </c>
      <c r="D18" s="56"/>
      <c r="E18" s="53">
        <v>170</v>
      </c>
    </row>
    <row r="19" ht="15.9" customHeight="1" spans="2:5" x14ac:dyDescent="0.25">
      <c r="B19" s="50" t="s">
        <v>33</v>
      </c>
      <c r="C19" s="57" t="s">
        <v>28</v>
      </c>
      <c r="D19" s="52"/>
      <c r="E19" s="53">
        <v>170</v>
      </c>
    </row>
    <row r="20" ht="15.9" customHeight="1" spans="2:5" x14ac:dyDescent="0.25">
      <c r="B20" s="54" t="s">
        <v>34</v>
      </c>
      <c r="C20" s="58" t="s">
        <v>28</v>
      </c>
      <c r="D20" s="56" t="s">
        <v>35</v>
      </c>
      <c r="E20" s="53">
        <v>130</v>
      </c>
    </row>
    <row r="21" ht="15.9" customHeight="1" spans="2:5" x14ac:dyDescent="0.25">
      <c r="B21" s="50" t="s">
        <v>36</v>
      </c>
      <c r="C21" s="57" t="s">
        <v>28</v>
      </c>
      <c r="D21" s="52"/>
      <c r="E21" s="53">
        <v>130</v>
      </c>
    </row>
    <row r="22" ht="15.9" customHeight="1" spans="2:5" x14ac:dyDescent="0.25">
      <c r="B22" s="54" t="s">
        <v>37</v>
      </c>
      <c r="C22" s="58" t="s">
        <v>28</v>
      </c>
      <c r="D22" s="56" t="s">
        <v>38</v>
      </c>
      <c r="E22" s="53">
        <v>120</v>
      </c>
    </row>
    <row r="23" ht="15.9" customHeight="1" spans="2:5" x14ac:dyDescent="0.25">
      <c r="B23" s="50" t="s">
        <v>39</v>
      </c>
      <c r="C23" s="57" t="s">
        <v>28</v>
      </c>
      <c r="D23" s="52" t="s">
        <v>40</v>
      </c>
      <c r="E23" s="53">
        <v>110</v>
      </c>
    </row>
    <row r="24" ht="15.9" customHeight="1" spans="2:5" x14ac:dyDescent="0.25">
      <c r="B24" s="54" t="s">
        <v>41</v>
      </c>
      <c r="C24" s="58" t="s">
        <v>28</v>
      </c>
      <c r="D24" s="54" t="s">
        <v>42</v>
      </c>
      <c r="E24" s="53">
        <v>170</v>
      </c>
    </row>
    <row r="25" ht="15.9" customHeight="1" spans="2:5" x14ac:dyDescent="0.25">
      <c r="B25" s="50" t="s">
        <v>43</v>
      </c>
      <c r="C25" s="57" t="s">
        <v>28</v>
      </c>
      <c r="D25" s="50" t="s">
        <v>42</v>
      </c>
      <c r="E25" s="53">
        <v>180</v>
      </c>
    </row>
    <row r="26" ht="15.9" customHeight="1" spans="2:5" x14ac:dyDescent="0.25">
      <c r="B26" s="54" t="s">
        <v>44</v>
      </c>
      <c r="C26" s="58" t="s">
        <v>28</v>
      </c>
      <c r="D26" s="54" t="s">
        <v>45</v>
      </c>
      <c r="E26" s="53">
        <v>125</v>
      </c>
    </row>
    <row r="27" ht="15.9" customHeight="1" spans="2:5" x14ac:dyDescent="0.25">
      <c r="B27" s="50" t="s">
        <v>27</v>
      </c>
      <c r="C27" s="57" t="s">
        <v>28</v>
      </c>
      <c r="D27" s="50" t="s">
        <v>29</v>
      </c>
      <c r="E27" s="53">
        <v>130</v>
      </c>
    </row>
    <row r="28" ht="15.9" customHeight="1" spans="2:5" x14ac:dyDescent="0.25">
      <c r="B28" s="54" t="s">
        <v>30</v>
      </c>
      <c r="C28" s="58" t="s">
        <v>28</v>
      </c>
      <c r="D28" s="56" t="s">
        <v>31</v>
      </c>
      <c r="E28" s="53">
        <v>115</v>
      </c>
    </row>
    <row r="29" ht="15.9" customHeight="1" spans="2:5" x14ac:dyDescent="0.25">
      <c r="B29" s="50" t="s">
        <v>32</v>
      </c>
      <c r="C29" s="57" t="s">
        <v>28</v>
      </c>
      <c r="D29" s="50"/>
      <c r="E29" s="53">
        <v>170</v>
      </c>
    </row>
    <row r="30" ht="15.9" customHeight="1" spans="2:5" x14ac:dyDescent="0.25">
      <c r="B30" s="54" t="s">
        <v>33</v>
      </c>
      <c r="C30" s="58" t="s">
        <v>28</v>
      </c>
      <c r="D30" s="56"/>
      <c r="E30" s="53">
        <v>170</v>
      </c>
    </row>
    <row r="31" ht="15.9" customHeight="1" spans="2:5" x14ac:dyDescent="0.25">
      <c r="B31" s="50" t="s">
        <v>34</v>
      </c>
      <c r="C31" s="57" t="s">
        <v>28</v>
      </c>
      <c r="D31" s="52" t="s">
        <v>35</v>
      </c>
      <c r="E31" s="53">
        <v>130</v>
      </c>
    </row>
    <row r="32" ht="15.9" customHeight="1" spans="2:5" x14ac:dyDescent="0.25">
      <c r="B32" s="54" t="s">
        <v>36</v>
      </c>
      <c r="C32" s="58" t="s">
        <v>28</v>
      </c>
      <c r="D32" s="56"/>
      <c r="E32" s="53">
        <v>130</v>
      </c>
    </row>
    <row r="33" ht="15.9" customHeight="1" spans="2:5" x14ac:dyDescent="0.25">
      <c r="B33" s="50" t="s">
        <v>37</v>
      </c>
      <c r="C33" s="57" t="s">
        <v>28</v>
      </c>
      <c r="D33" s="52" t="s">
        <v>38</v>
      </c>
      <c r="E33" s="53">
        <v>120</v>
      </c>
    </row>
    <row r="34" ht="15.9" customHeight="1" spans="2:5" x14ac:dyDescent="0.25">
      <c r="B34" s="59" t="s">
        <v>39</v>
      </c>
      <c r="C34" s="58" t="s">
        <v>28</v>
      </c>
      <c r="D34" s="56" t="s">
        <v>40</v>
      </c>
      <c r="E34" s="53">
        <v>110</v>
      </c>
    </row>
    <row r="35" ht="15.6" customHeight="1" spans="2:5" x14ac:dyDescent="0.25">
      <c r="B35" s="60" t="s">
        <v>41</v>
      </c>
      <c r="C35" s="57" t="s">
        <v>28</v>
      </c>
      <c r="D35" s="52" t="s">
        <v>42</v>
      </c>
      <c r="E35" s="53">
        <v>170</v>
      </c>
    </row>
    <row r="36" ht="15.6" customHeight="1" spans="2:5" x14ac:dyDescent="0.25">
      <c r="B36" s="59" t="s">
        <v>43</v>
      </c>
      <c r="C36" s="58" t="s">
        <v>28</v>
      </c>
      <c r="D36" s="56" t="s">
        <v>42</v>
      </c>
      <c r="E36" s="53">
        <v>180</v>
      </c>
    </row>
    <row r="37" ht="15.6" customHeight="1" spans="2:5" x14ac:dyDescent="0.25">
      <c r="B37" s="60" t="s">
        <v>44</v>
      </c>
      <c r="C37" s="57" t="s">
        <v>28</v>
      </c>
      <c r="D37" s="52" t="s">
        <v>45</v>
      </c>
      <c r="E37" s="53">
        <v>125</v>
      </c>
    </row>
    <row r="38" ht="15.6" customHeight="1" spans="2:5" x14ac:dyDescent="0.25">
      <c r="B38" s="59" t="s">
        <v>46</v>
      </c>
      <c r="C38" s="58" t="s">
        <v>47</v>
      </c>
      <c r="D38" s="56" t="s">
        <v>48</v>
      </c>
      <c r="E38" s="53">
        <v>65</v>
      </c>
    </row>
    <row r="39" ht="15.6" customHeight="1" spans="2:5" x14ac:dyDescent="0.25">
      <c r="B39" s="60" t="s">
        <v>49</v>
      </c>
      <c r="C39" s="57" t="s">
        <v>47</v>
      </c>
      <c r="D39" s="52" t="s">
        <v>50</v>
      </c>
      <c r="E39" s="53">
        <v>80</v>
      </c>
    </row>
    <row r="40" ht="15.6" customHeight="1" spans="2:5" x14ac:dyDescent="0.25">
      <c r="B40" s="59" t="s">
        <v>46</v>
      </c>
      <c r="C40" s="58" t="s">
        <v>47</v>
      </c>
      <c r="D40" s="56" t="s">
        <v>48</v>
      </c>
      <c r="E40" s="53">
        <v>65</v>
      </c>
    </row>
    <row r="41" spans="2:5" x14ac:dyDescent="0.25">
      <c r="B41" s="61" t="s">
        <v>49</v>
      </c>
      <c r="C41" s="61" t="s">
        <v>47</v>
      </c>
      <c r="D41" s="61" t="s">
        <v>50</v>
      </c>
      <c r="E41" s="62">
        <v>80</v>
      </c>
    </row>
    <row r="42" spans="2:5" x14ac:dyDescent="0.25">
      <c r="B42" s="63" t="s">
        <v>51</v>
      </c>
      <c r="C42" s="63" t="s">
        <v>52</v>
      </c>
      <c r="D42" s="63" t="s">
        <v>53</v>
      </c>
      <c r="E42" s="64">
        <v>520</v>
      </c>
    </row>
    <row r="43" spans="2:5" x14ac:dyDescent="0.25">
      <c r="B43" s="61" t="s">
        <v>54</v>
      </c>
      <c r="C43" s="61" t="s">
        <v>52</v>
      </c>
      <c r="D43" s="61"/>
      <c r="E43" s="62">
        <v>520</v>
      </c>
    </row>
    <row r="44" spans="2:5" x14ac:dyDescent="0.25">
      <c r="B44" s="63" t="s">
        <v>55</v>
      </c>
      <c r="C44" s="63" t="s">
        <v>52</v>
      </c>
      <c r="D44" s="63"/>
      <c r="E44" s="64">
        <v>520</v>
      </c>
    </row>
    <row r="45" spans="2:5" x14ac:dyDescent="0.25">
      <c r="B45" s="61" t="s">
        <v>51</v>
      </c>
      <c r="C45" s="61" t="s">
        <v>52</v>
      </c>
      <c r="D45" s="61" t="s">
        <v>53</v>
      </c>
      <c r="E45" s="62">
        <v>520</v>
      </c>
    </row>
    <row r="46" spans="2:5" x14ac:dyDescent="0.25">
      <c r="B46" s="63" t="s">
        <v>54</v>
      </c>
      <c r="C46" s="63" t="s">
        <v>52</v>
      </c>
      <c r="D46" s="63"/>
      <c r="E46" s="64">
        <v>520</v>
      </c>
    </row>
    <row r="47" spans="2:5" x14ac:dyDescent="0.25">
      <c r="B47" s="65" t="s">
        <v>55</v>
      </c>
      <c r="C47" s="65" t="s">
        <v>52</v>
      </c>
      <c r="D47" s="65"/>
      <c r="E47" s="66">
        <v>520</v>
      </c>
    </row>
    <row r="48" spans="2:5" x14ac:dyDescent="0.25">
      <c r="B48" s="42" t="s">
        <v>56</v>
      </c>
      <c r="C48" s="42" t="s">
        <v>57</v>
      </c>
      <c r="D48" s="42" t="s">
        <v>58</v>
      </c>
      <c r="E48" s="43">
        <v>110</v>
      </c>
    </row>
    <row r="49" spans="2:5" x14ac:dyDescent="0.25">
      <c r="B49" s="42" t="s">
        <v>59</v>
      </c>
      <c r="C49" s="42" t="s">
        <v>57</v>
      </c>
      <c r="D49" s="42" t="s">
        <v>58</v>
      </c>
      <c r="E49" s="43">
        <v>110</v>
      </c>
    </row>
    <row r="50" spans="2:5" x14ac:dyDescent="0.25">
      <c r="B50" s="42" t="s">
        <v>60</v>
      </c>
      <c r="C50" s="42" t="s">
        <v>57</v>
      </c>
      <c r="D50" s="42" t="s">
        <v>61</v>
      </c>
      <c r="E50" s="43">
        <v>110</v>
      </c>
    </row>
    <row r="51" spans="2:5" x14ac:dyDescent="0.25">
      <c r="B51" s="42" t="s">
        <v>62</v>
      </c>
      <c r="C51" s="42" t="s">
        <v>57</v>
      </c>
      <c r="D51" s="42" t="s">
        <v>61</v>
      </c>
      <c r="E51" s="43">
        <v>110</v>
      </c>
    </row>
    <row r="52" spans="2:5" x14ac:dyDescent="0.25">
      <c r="B52" s="42" t="s">
        <v>63</v>
      </c>
      <c r="C52" s="42" t="s">
        <v>57</v>
      </c>
      <c r="D52" s="42" t="s">
        <v>64</v>
      </c>
      <c r="E52" s="43">
        <v>90</v>
      </c>
    </row>
    <row r="53" spans="2:5" x14ac:dyDescent="0.25">
      <c r="B53" s="42" t="s">
        <v>65</v>
      </c>
      <c r="C53" s="42" t="s">
        <v>57</v>
      </c>
      <c r="D53" s="42" t="s">
        <v>66</v>
      </c>
      <c r="E53" s="43">
        <v>750</v>
      </c>
    </row>
    <row r="54" spans="2:5" x14ac:dyDescent="0.25">
      <c r="B54" s="42" t="s">
        <v>67</v>
      </c>
      <c r="C54" s="42" t="s">
        <v>57</v>
      </c>
      <c r="D54" s="42" t="s">
        <v>68</v>
      </c>
      <c r="E54" s="43">
        <v>400</v>
      </c>
    </row>
    <row r="55" spans="2:5" x14ac:dyDescent="0.25">
      <c r="B55" s="42" t="s">
        <v>69</v>
      </c>
      <c r="C55" s="42" t="s">
        <v>57</v>
      </c>
      <c r="D55" s="42" t="s">
        <v>70</v>
      </c>
      <c r="E55" s="43">
        <v>770</v>
      </c>
    </row>
    <row r="56" spans="2:5" x14ac:dyDescent="0.25">
      <c r="B56" s="42" t="s">
        <v>71</v>
      </c>
      <c r="C56" s="42" t="s">
        <v>57</v>
      </c>
      <c r="D56" s="42" t="s">
        <v>72</v>
      </c>
      <c r="E56" s="43">
        <v>1550</v>
      </c>
    </row>
    <row r="57" spans="2:5" x14ac:dyDescent="0.25">
      <c r="B57" s="42" t="s">
        <v>73</v>
      </c>
      <c r="C57" s="42" t="s">
        <v>57</v>
      </c>
      <c r="D57" s="42"/>
      <c r="E57" s="43">
        <v>90</v>
      </c>
    </row>
    <row r="58" spans="2:5" x14ac:dyDescent="0.25">
      <c r="B58" s="42" t="s">
        <v>74</v>
      </c>
      <c r="C58" s="42" t="s">
        <v>57</v>
      </c>
      <c r="D58" s="42"/>
      <c r="E58" s="43">
        <v>90</v>
      </c>
    </row>
    <row r="59" spans="2:5" x14ac:dyDescent="0.25">
      <c r="B59" s="42" t="s">
        <v>75</v>
      </c>
      <c r="C59" s="42" t="s">
        <v>57</v>
      </c>
      <c r="D59" s="42"/>
      <c r="E59" s="43">
        <v>50</v>
      </c>
    </row>
    <row r="60" spans="2:5" x14ac:dyDescent="0.25">
      <c r="B60" s="42" t="s">
        <v>76</v>
      </c>
      <c r="C60" s="42" t="s">
        <v>57</v>
      </c>
      <c r="D60" s="42" t="s">
        <v>77</v>
      </c>
      <c r="E60" s="43">
        <v>0</v>
      </c>
    </row>
    <row r="61" spans="2:5" x14ac:dyDescent="0.25">
      <c r="B61" s="42" t="s">
        <v>56</v>
      </c>
      <c r="C61" s="42" t="s">
        <v>57</v>
      </c>
      <c r="D61" s="42" t="s">
        <v>58</v>
      </c>
      <c r="E61" s="43">
        <v>110</v>
      </c>
    </row>
    <row r="62" spans="2:5" x14ac:dyDescent="0.25">
      <c r="B62" s="42" t="s">
        <v>59</v>
      </c>
      <c r="C62" s="42" t="s">
        <v>57</v>
      </c>
      <c r="D62" s="42" t="s">
        <v>58</v>
      </c>
      <c r="E62" s="43">
        <v>110</v>
      </c>
    </row>
    <row r="63" spans="2:5" x14ac:dyDescent="0.25">
      <c r="B63" s="42" t="s">
        <v>60</v>
      </c>
      <c r="C63" s="42" t="s">
        <v>57</v>
      </c>
      <c r="D63" s="42" t="s">
        <v>61</v>
      </c>
      <c r="E63" s="43">
        <v>110</v>
      </c>
    </row>
    <row r="64" spans="2:5" x14ac:dyDescent="0.25">
      <c r="B64" s="42" t="s">
        <v>62</v>
      </c>
      <c r="C64" s="42" t="s">
        <v>57</v>
      </c>
      <c r="D64" s="42" t="s">
        <v>61</v>
      </c>
      <c r="E64" s="43">
        <v>110</v>
      </c>
    </row>
    <row r="65" spans="2:5" x14ac:dyDescent="0.25">
      <c r="B65" s="42" t="s">
        <v>63</v>
      </c>
      <c r="C65" s="42" t="s">
        <v>57</v>
      </c>
      <c r="D65" s="42" t="s">
        <v>64</v>
      </c>
      <c r="E65" s="43">
        <v>90</v>
      </c>
    </row>
    <row r="66" spans="2:5" x14ac:dyDescent="0.25">
      <c r="B66" s="42" t="s">
        <v>65</v>
      </c>
      <c r="C66" s="42" t="s">
        <v>57</v>
      </c>
      <c r="D66" s="42" t="s">
        <v>66</v>
      </c>
      <c r="E66" s="43">
        <v>750</v>
      </c>
    </row>
    <row r="67" spans="2:5" x14ac:dyDescent="0.25">
      <c r="B67" s="42" t="s">
        <v>67</v>
      </c>
      <c r="C67" s="42" t="s">
        <v>57</v>
      </c>
      <c r="D67" s="42" t="s">
        <v>68</v>
      </c>
      <c r="E67" s="43">
        <v>400</v>
      </c>
    </row>
    <row r="68" spans="2:5" x14ac:dyDescent="0.25">
      <c r="B68" s="42" t="s">
        <v>69</v>
      </c>
      <c r="C68" s="42" t="s">
        <v>57</v>
      </c>
      <c r="D68" s="42" t="s">
        <v>70</v>
      </c>
      <c r="E68" s="43">
        <v>770</v>
      </c>
    </row>
    <row r="69" spans="2:5" x14ac:dyDescent="0.25">
      <c r="B69" s="42" t="s">
        <v>71</v>
      </c>
      <c r="C69" s="42" t="s">
        <v>57</v>
      </c>
      <c r="D69" s="42" t="s">
        <v>72</v>
      </c>
      <c r="E69" s="43">
        <v>1550</v>
      </c>
    </row>
    <row r="70" spans="2:5" x14ac:dyDescent="0.25">
      <c r="B70" s="42" t="s">
        <v>73</v>
      </c>
      <c r="C70" s="42" t="s">
        <v>57</v>
      </c>
      <c r="D70" s="42"/>
      <c r="E70" s="43">
        <v>90</v>
      </c>
    </row>
    <row r="71" spans="2:5" x14ac:dyDescent="0.25">
      <c r="B71" s="42" t="s">
        <v>74</v>
      </c>
      <c r="C71" s="42" t="s">
        <v>57</v>
      </c>
      <c r="D71" s="42"/>
      <c r="E71" s="43">
        <v>90</v>
      </c>
    </row>
    <row r="72" spans="2:5" x14ac:dyDescent="0.25">
      <c r="B72" s="42" t="s">
        <v>75</v>
      </c>
      <c r="C72" s="42" t="s">
        <v>57</v>
      </c>
      <c r="D72" s="42"/>
      <c r="E72" s="43">
        <v>50</v>
      </c>
    </row>
    <row r="73" spans="2:5" x14ac:dyDescent="0.25">
      <c r="B73" s="42" t="s">
        <v>76</v>
      </c>
      <c r="C73" s="42" t="s">
        <v>57</v>
      </c>
      <c r="D73" s="42" t="s">
        <v>77</v>
      </c>
      <c r="E73" s="43">
        <v>0</v>
      </c>
    </row>
    <row r="74" spans="2:5" x14ac:dyDescent="0.25">
      <c r="B74" s="42" t="s">
        <v>78</v>
      </c>
      <c r="C74" s="42" t="s">
        <v>79</v>
      </c>
      <c r="D74" s="42" t="s">
        <v>80</v>
      </c>
      <c r="E74" s="43">
        <v>860</v>
      </c>
    </row>
    <row r="75" spans="2:5" x14ac:dyDescent="0.25">
      <c r="B75" s="42" t="s">
        <v>81</v>
      </c>
      <c r="C75" s="42" t="s">
        <v>79</v>
      </c>
      <c r="D75" s="42" t="s">
        <v>80</v>
      </c>
      <c r="E75" s="43">
        <v>900</v>
      </c>
    </row>
    <row r="76" spans="2:5" x14ac:dyDescent="0.25">
      <c r="B76" s="42" t="s">
        <v>82</v>
      </c>
      <c r="C76" s="42" t="s">
        <v>79</v>
      </c>
      <c r="D76" s="42" t="s">
        <v>83</v>
      </c>
      <c r="E76" s="43">
        <v>760</v>
      </c>
    </row>
    <row r="77" spans="2:5" x14ac:dyDescent="0.25">
      <c r="B77" s="42" t="s">
        <v>84</v>
      </c>
      <c r="C77" s="42" t="s">
        <v>79</v>
      </c>
      <c r="D77" s="42"/>
      <c r="E77" s="43">
        <v>650</v>
      </c>
    </row>
    <row r="78" spans="2:5" x14ac:dyDescent="0.25">
      <c r="B78" s="42" t="s">
        <v>78</v>
      </c>
      <c r="C78" s="42" t="s">
        <v>79</v>
      </c>
      <c r="D78" s="42" t="s">
        <v>80</v>
      </c>
      <c r="E78" s="43">
        <v>860</v>
      </c>
    </row>
    <row r="79" spans="2:5" x14ac:dyDescent="0.25">
      <c r="B79" s="42" t="s">
        <v>81</v>
      </c>
      <c r="C79" s="42" t="s">
        <v>79</v>
      </c>
      <c r="D79" s="42" t="s">
        <v>80</v>
      </c>
      <c r="E79" s="43">
        <v>900</v>
      </c>
    </row>
    <row r="80" spans="2:5" x14ac:dyDescent="0.25">
      <c r="B80" s="42" t="s">
        <v>82</v>
      </c>
      <c r="C80" s="42" t="s">
        <v>79</v>
      </c>
      <c r="D80" s="42" t="s">
        <v>83</v>
      </c>
      <c r="E80" s="43">
        <v>760</v>
      </c>
    </row>
    <row r="81" spans="2:5" x14ac:dyDescent="0.25">
      <c r="B81" s="42" t="s">
        <v>84</v>
      </c>
      <c r="C81" s="42" t="s">
        <v>79</v>
      </c>
      <c r="D81" s="42"/>
      <c r="E81" s="43">
        <v>650</v>
      </c>
    </row>
    <row r="82" spans="2:5" x14ac:dyDescent="0.25">
      <c r="B82" s="42" t="s">
        <v>85</v>
      </c>
      <c r="C82" s="42" t="s">
        <v>86</v>
      </c>
      <c r="D82" s="42" t="s">
        <v>87</v>
      </c>
      <c r="E82" s="43">
        <v>350</v>
      </c>
    </row>
    <row r="83" spans="2:5" x14ac:dyDescent="0.25">
      <c r="B83" s="42" t="s">
        <v>88</v>
      </c>
      <c r="C83" s="42" t="s">
        <v>86</v>
      </c>
      <c r="D83" s="42" t="s">
        <v>89</v>
      </c>
      <c r="E83" s="43">
        <v>430</v>
      </c>
    </row>
    <row r="84" spans="2:5" x14ac:dyDescent="0.25">
      <c r="B84" s="42" t="s">
        <v>90</v>
      </c>
      <c r="C84" s="42" t="s">
        <v>86</v>
      </c>
      <c r="D84" s="42" t="s">
        <v>91</v>
      </c>
      <c r="E84" s="43">
        <v>480</v>
      </c>
    </row>
    <row r="85" spans="2:5" x14ac:dyDescent="0.25">
      <c r="B85" s="42" t="s">
        <v>92</v>
      </c>
      <c r="C85" s="42" t="s">
        <v>86</v>
      </c>
      <c r="D85" s="42" t="s">
        <v>93</v>
      </c>
      <c r="E85" s="43">
        <v>280</v>
      </c>
    </row>
    <row r="86" spans="2:5" x14ac:dyDescent="0.25">
      <c r="B86" s="42" t="s">
        <v>94</v>
      </c>
      <c r="C86" s="42" t="s">
        <v>86</v>
      </c>
      <c r="D86" s="42" t="s">
        <v>95</v>
      </c>
      <c r="E86" s="43">
        <v>295</v>
      </c>
    </row>
    <row r="87" spans="2:5" x14ac:dyDescent="0.25">
      <c r="B87" s="42" t="s">
        <v>85</v>
      </c>
      <c r="C87" s="42" t="s">
        <v>86</v>
      </c>
      <c r="D87" s="42" t="s">
        <v>87</v>
      </c>
      <c r="E87" s="43">
        <v>350</v>
      </c>
    </row>
    <row r="88" spans="2:5" x14ac:dyDescent="0.25">
      <c r="B88" s="42" t="s">
        <v>88</v>
      </c>
      <c r="C88" s="42" t="s">
        <v>86</v>
      </c>
      <c r="D88" s="42" t="s">
        <v>89</v>
      </c>
      <c r="E88" s="43">
        <v>430</v>
      </c>
    </row>
    <row r="89" spans="2:5" x14ac:dyDescent="0.25">
      <c r="B89" s="42" t="s">
        <v>90</v>
      </c>
      <c r="C89" s="42" t="s">
        <v>86</v>
      </c>
      <c r="D89" s="42" t="s">
        <v>91</v>
      </c>
      <c r="E89" s="43">
        <v>480</v>
      </c>
    </row>
    <row r="90" spans="2:5" x14ac:dyDescent="0.25">
      <c r="B90" s="42" t="s">
        <v>92</v>
      </c>
      <c r="C90" s="42" t="s">
        <v>86</v>
      </c>
      <c r="D90" s="42" t="s">
        <v>93</v>
      </c>
      <c r="E90" s="43">
        <v>280</v>
      </c>
    </row>
    <row r="91" spans="2:5" x14ac:dyDescent="0.25">
      <c r="B91" s="42" t="s">
        <v>94</v>
      </c>
      <c r="C91" s="42" t="s">
        <v>86</v>
      </c>
      <c r="D91" s="42" t="s">
        <v>95</v>
      </c>
      <c r="E91" s="43">
        <v>295</v>
      </c>
    </row>
    <row r="92" spans="2:5" x14ac:dyDescent="0.25">
      <c r="B92" s="42" t="s">
        <v>96</v>
      </c>
      <c r="C92" s="42" t="s">
        <v>97</v>
      </c>
      <c r="D92" s="42" t="s">
        <v>98</v>
      </c>
      <c r="E92" s="43">
        <v>500</v>
      </c>
    </row>
    <row r="93" spans="2:5" x14ac:dyDescent="0.25">
      <c r="B93" s="42" t="s">
        <v>96</v>
      </c>
      <c r="C93" s="42" t="s">
        <v>97</v>
      </c>
      <c r="D93" s="42" t="s">
        <v>98</v>
      </c>
      <c r="E93" s="43">
        <v>500</v>
      </c>
    </row>
    <row r="94" spans="2:5" x14ac:dyDescent="0.25">
      <c r="B94" s="42" t="s">
        <v>99</v>
      </c>
      <c r="C94" s="42" t="s">
        <v>100</v>
      </c>
      <c r="D94" s="42" t="s">
        <v>101</v>
      </c>
      <c r="E94" s="43">
        <v>15</v>
      </c>
    </row>
    <row r="95" spans="2:5" x14ac:dyDescent="0.25">
      <c r="B95" s="42" t="s">
        <v>102</v>
      </c>
      <c r="C95" s="42" t="s">
        <v>100</v>
      </c>
      <c r="D95" s="42" t="s">
        <v>103</v>
      </c>
      <c r="E95" s="43">
        <v>5</v>
      </c>
    </row>
    <row r="96" spans="2:5" x14ac:dyDescent="0.25">
      <c r="B96" s="42" t="s">
        <v>104</v>
      </c>
      <c r="C96" s="42" t="s">
        <v>100</v>
      </c>
      <c r="D96" s="42" t="s">
        <v>105</v>
      </c>
      <c r="E96" s="43">
        <v>30</v>
      </c>
    </row>
    <row r="97" spans="2:5" x14ac:dyDescent="0.25">
      <c r="B97" s="42" t="s">
        <v>106</v>
      </c>
      <c r="C97" s="42" t="s">
        <v>100</v>
      </c>
      <c r="D97" s="42" t="s">
        <v>107</v>
      </c>
      <c r="E97" s="43">
        <v>10</v>
      </c>
    </row>
    <row r="98" spans="2:5" x14ac:dyDescent="0.25">
      <c r="B98" s="42" t="s">
        <v>108</v>
      </c>
      <c r="C98" s="42" t="s">
        <v>100</v>
      </c>
      <c r="D98" s="42" t="s">
        <v>109</v>
      </c>
      <c r="E98" s="43">
        <v>4</v>
      </c>
    </row>
    <row r="99" spans="2:5" x14ac:dyDescent="0.25">
      <c r="B99" s="42" t="s">
        <v>99</v>
      </c>
      <c r="C99" s="42" t="s">
        <v>100</v>
      </c>
      <c r="D99" s="42" t="s">
        <v>101</v>
      </c>
      <c r="E99" s="43">
        <v>15</v>
      </c>
    </row>
    <row r="100" spans="2:5" x14ac:dyDescent="0.25">
      <c r="B100" s="42" t="s">
        <v>102</v>
      </c>
      <c r="C100" s="42" t="s">
        <v>100</v>
      </c>
      <c r="D100" s="42" t="s">
        <v>103</v>
      </c>
      <c r="E100" s="43">
        <v>5</v>
      </c>
    </row>
    <row r="101" spans="2:5" x14ac:dyDescent="0.25">
      <c r="B101" s="42" t="s">
        <v>104</v>
      </c>
      <c r="C101" s="42" t="s">
        <v>100</v>
      </c>
      <c r="D101" s="42" t="s">
        <v>105</v>
      </c>
      <c r="E101" s="43">
        <v>30</v>
      </c>
    </row>
    <row r="102" spans="2:5" x14ac:dyDescent="0.25">
      <c r="B102" s="42" t="s">
        <v>106</v>
      </c>
      <c r="C102" s="42" t="s">
        <v>100</v>
      </c>
      <c r="D102" s="42" t="s">
        <v>107</v>
      </c>
      <c r="E102" s="43">
        <v>10</v>
      </c>
    </row>
    <row r="103" spans="2:5" x14ac:dyDescent="0.25">
      <c r="B103" s="42" t="s">
        <v>108</v>
      </c>
      <c r="C103" s="42" t="s">
        <v>100</v>
      </c>
      <c r="D103" s="42" t="s">
        <v>109</v>
      </c>
      <c r="E103" s="43">
        <v>4</v>
      </c>
    </row>
    <row r="104" spans="2:5" x14ac:dyDescent="0.25">
      <c r="B104" s="42" t="s">
        <v>110</v>
      </c>
      <c r="C104" s="42" t="s">
        <v>111</v>
      </c>
      <c r="D104" s="42" t="s">
        <v>112</v>
      </c>
      <c r="E104" s="43">
        <v>4100</v>
      </c>
    </row>
    <row r="105" spans="2:5" x14ac:dyDescent="0.25">
      <c r="B105" s="42" t="s">
        <v>110</v>
      </c>
      <c r="C105" s="42" t="s">
        <v>111</v>
      </c>
      <c r="D105" s="42" t="s">
        <v>112</v>
      </c>
      <c r="E105" s="43">
        <v>4100</v>
      </c>
    </row>
  </sheetData>
  <pageMargins left="0.7" right="0.7" top="0.75" bottom="0.75" header="0.3" footer="0.3"/>
  <pageSetup orientation="portrait" horizontalDpi="4294967294" verticalDpi="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"/>
    <pageSetUpPr fitToPage="1"/>
  </sheetPr>
  <dimension ref="A1:IO107"/>
  <sheetViews>
    <sheetView workbookViewId="0" showGridLines="0" zoomScale="100" zoomScaleNormal="100">
      <pane ySplit="7" topLeftCell="A8" activePane="bottomLeft" state="frozen"/>
      <selection pane="bottomLeft" activeCell="P15" sqref="P15"/>
    </sheetView>
  </sheetViews>
  <sheetFormatPr defaultRowHeight="15" outlineLevelRow="0" outlineLevelCol="0" x14ac:dyDescent="0.25"/>
  <cols>
    <col min="1" max="1" width="3.3984375" style="1" customWidth="1"/>
    <col min="2" max="2" width="34.59765625" style="1" customWidth="1"/>
    <col min="3" max="3" width="17.09765625" style="1" customWidth="1"/>
    <col min="4" max="4" width="14.5" style="1" customWidth="1"/>
    <col min="5" max="5" width="10.19921875" style="2" customWidth="1"/>
    <col min="6" max="6" width="8" style="1" customWidth="1"/>
    <col min="7" max="7" width="13.09765625" style="1" customWidth="1"/>
    <col min="8" max="8" width="10.59765625" style="1" customWidth="1"/>
    <col min="9" max="9" width="13.09765625" style="1" customWidth="1"/>
    <col min="10" max="10" width="3.3984375" style="1" customWidth="1"/>
    <col min="11" max="11" width="6.19921875" style="1" customWidth="1"/>
    <col min="12" max="12" width="8.3984375" style="1" customWidth="1"/>
    <col min="13" max="16384" width="10.8984375" style="1" customWidth="1"/>
  </cols>
  <sheetData>
    <row r="1" ht="42" customHeight="1" spans="1:249" s="3" customFormat="1" x14ac:dyDescent="0.25">
      <c r="A1" s="4"/>
      <c r="B1" s="5" t="s">
        <v>0</v>
      </c>
      <c r="C1" s="5"/>
      <c r="D1" s="5"/>
      <c r="E1" s="5"/>
      <c r="F1" s="5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 ht="39.9" customHeight="1" spans="2:9" x14ac:dyDescent="0.25">
      <c r="B2" s="6"/>
      <c r="C2" s="6"/>
      <c r="D2" s="6"/>
      <c r="E2" s="6"/>
      <c r="F2" s="6"/>
      <c r="G2" s="6"/>
      <c r="H2" s="6"/>
      <c r="I2" s="6"/>
    </row>
    <row r="3" ht="30" customHeight="1" spans="2:9" x14ac:dyDescent="0.25">
      <c r="B3" s="7" t="s">
        <v>1</v>
      </c>
      <c r="C3" s="7"/>
      <c r="D3" s="8"/>
      <c r="E3" s="8"/>
      <c r="F3" s="9"/>
      <c r="G3" s="10" t="s">
        <v>2</v>
      </c>
      <c r="H3" s="10"/>
      <c r="I3" s="11">
        <f>SUM(G8:G107)</f>
        <v>0</v>
      </c>
    </row>
    <row r="4" ht="30" customHeight="1" spans="2:9" x14ac:dyDescent="0.25">
      <c r="B4" s="12" t="s">
        <v>3</v>
      </c>
      <c r="C4" s="13"/>
      <c r="D4" s="8"/>
      <c r="E4" s="8"/>
      <c r="F4" s="9"/>
      <c r="G4" s="14" t="s">
        <v>4</v>
      </c>
      <c r="H4" s="14"/>
      <c r="I4" s="15">
        <f>SUM(H8:H107)</f>
        <v>0</v>
      </c>
    </row>
    <row r="5" ht="30" customHeight="1" spans="2:9" x14ac:dyDescent="0.25">
      <c r="B5" s="9"/>
      <c r="C5" s="9"/>
      <c r="D5" s="16"/>
      <c r="E5" s="16"/>
      <c r="F5" s="9"/>
      <c r="G5" s="10" t="s">
        <v>5</v>
      </c>
      <c r="H5" s="10"/>
      <c r="I5" s="11">
        <f>SUM(I8:I107)</f>
        <v>0</v>
      </c>
    </row>
    <row r="6" ht="6.9" customHeight="1" spans="2:9" x14ac:dyDescent="0.25">
      <c r="B6" s="9"/>
      <c r="C6" s="9"/>
      <c r="D6" s="9"/>
      <c r="E6" s="9"/>
      <c r="F6" s="9"/>
      <c r="G6" s="9"/>
      <c r="H6" s="9"/>
      <c r="I6" s="9"/>
    </row>
    <row r="7" ht="32" customHeight="1" spans="1:15" x14ac:dyDescent="0.25">
      <c r="A7" s="1"/>
      <c r="B7" s="17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4</v>
      </c>
      <c r="I7" s="19" t="s">
        <v>12</v>
      </c>
      <c r="J7" s="1"/>
      <c r="K7" s="20" t="s">
        <v>13</v>
      </c>
      <c r="L7" s="21" t="s">
        <v>14</v>
      </c>
      <c r="M7" s="1"/>
      <c r="N7" s="1"/>
      <c r="O7" s="1"/>
    </row>
    <row r="8" ht="15.9" customHeight="1" spans="2:12" x14ac:dyDescent="0.25">
      <c r="B8" s="22"/>
      <c r="C8" s="23"/>
      <c r="D8" s="23"/>
      <c r="E8" s="24"/>
      <c r="F8" s="25"/>
      <c r="G8" s="26"/>
      <c r="H8" s="26"/>
      <c r="I8" s="27"/>
      <c r="K8" s="28"/>
      <c r="L8" s="29"/>
    </row>
    <row r="9" ht="15.9" customHeight="1" spans="2:12" x14ac:dyDescent="0.25">
      <c r="B9" s="30"/>
      <c r="C9" s="31"/>
      <c r="D9" s="31"/>
      <c r="E9" s="32"/>
      <c r="F9" s="33"/>
      <c r="G9" s="34"/>
      <c r="H9" s="34"/>
      <c r="I9" s="35"/>
      <c r="K9" s="28"/>
      <c r="L9" s="29"/>
    </row>
    <row r="10" ht="15.9" customHeight="1" spans="2:12" x14ac:dyDescent="0.25">
      <c r="B10" s="22"/>
      <c r="C10" s="23"/>
      <c r="D10" s="23"/>
      <c r="E10" s="24"/>
      <c r="F10" s="25"/>
      <c r="G10" s="26"/>
      <c r="H10" s="26"/>
      <c r="I10" s="27"/>
      <c r="K10" s="28"/>
      <c r="L10" s="29"/>
    </row>
    <row r="11" ht="15.9" customHeight="1" spans="2:12" x14ac:dyDescent="0.25">
      <c r="B11" s="30"/>
      <c r="C11" s="31"/>
      <c r="D11" s="31"/>
      <c r="E11" s="32"/>
      <c r="F11" s="33"/>
      <c r="G11" s="34"/>
      <c r="H11" s="34"/>
      <c r="I11" s="35"/>
      <c r="K11" s="28"/>
      <c r="L11" s="29"/>
    </row>
    <row r="12" ht="15.9" customHeight="1" spans="2:12" x14ac:dyDescent="0.25">
      <c r="B12" s="22"/>
      <c r="C12" s="23"/>
      <c r="D12" s="23"/>
      <c r="E12" s="24"/>
      <c r="F12" s="25"/>
      <c r="G12" s="26"/>
      <c r="H12" s="26"/>
      <c r="I12" s="27"/>
      <c r="K12" s="28"/>
      <c r="L12" s="29"/>
    </row>
    <row r="13" ht="15.9" customHeight="1" spans="2:12" x14ac:dyDescent="0.25">
      <c r="B13" s="30"/>
      <c r="C13" s="31"/>
      <c r="D13" s="31"/>
      <c r="E13" s="32"/>
      <c r="F13" s="33"/>
      <c r="G13" s="34"/>
      <c r="H13" s="34"/>
      <c r="I13" s="35"/>
      <c r="K13" s="28"/>
      <c r="L13" s="29"/>
    </row>
    <row r="14" ht="15.9" customHeight="1" spans="2:12" x14ac:dyDescent="0.25">
      <c r="B14" s="22"/>
      <c r="C14" s="23"/>
      <c r="D14" s="23"/>
      <c r="E14" s="24"/>
      <c r="F14" s="25"/>
      <c r="G14" s="26"/>
      <c r="H14" s="26"/>
      <c r="I14" s="27"/>
      <c r="K14" s="28"/>
      <c r="L14" s="29"/>
    </row>
    <row r="15" ht="15.9" customHeight="1" spans="2:12" x14ac:dyDescent="0.25">
      <c r="B15" s="30"/>
      <c r="C15" s="31"/>
      <c r="D15" s="31"/>
      <c r="E15" s="32"/>
      <c r="F15" s="33"/>
      <c r="G15" s="34"/>
      <c r="H15" s="34"/>
      <c r="I15" s="35"/>
      <c r="K15" s="28"/>
      <c r="L15" s="29"/>
    </row>
    <row r="16" ht="15.9" customHeight="1" spans="2:12" x14ac:dyDescent="0.25">
      <c r="B16" s="22"/>
      <c r="C16" s="23"/>
      <c r="D16" s="23"/>
      <c r="E16" s="24"/>
      <c r="F16" s="25"/>
      <c r="G16" s="26"/>
      <c r="H16" s="26"/>
      <c r="I16" s="27"/>
      <c r="K16" s="28"/>
      <c r="L16" s="29"/>
    </row>
    <row r="17" ht="15.9" customHeight="1" spans="2:12" x14ac:dyDescent="0.25">
      <c r="B17" s="30"/>
      <c r="C17" s="31"/>
      <c r="D17" s="31"/>
      <c r="E17" s="32"/>
      <c r="F17" s="33"/>
      <c r="G17" s="34"/>
      <c r="H17" s="34"/>
      <c r="I17" s="35"/>
      <c r="K17" s="28"/>
      <c r="L17" s="29"/>
    </row>
    <row r="18" ht="15.9" customHeight="1" spans="2:12" x14ac:dyDescent="0.25">
      <c r="B18" s="22"/>
      <c r="C18" s="23"/>
      <c r="D18" s="23"/>
      <c r="E18" s="24"/>
      <c r="F18" s="25"/>
      <c r="G18" s="26"/>
      <c r="H18" s="26"/>
      <c r="I18" s="27"/>
      <c r="K18" s="28"/>
      <c r="L18" s="29"/>
    </row>
    <row r="19" ht="15.9" customHeight="1" spans="2:12" x14ac:dyDescent="0.25">
      <c r="B19" s="30"/>
      <c r="C19" s="31"/>
      <c r="D19" s="31"/>
      <c r="E19" s="32"/>
      <c r="F19" s="33"/>
      <c r="G19" s="34"/>
      <c r="H19" s="34"/>
      <c r="I19" s="35"/>
      <c r="K19" s="28"/>
      <c r="L19" s="29"/>
    </row>
    <row r="20" ht="15.9" customHeight="1" spans="2:9" x14ac:dyDescent="0.25">
      <c r="B20" s="22"/>
      <c r="C20" s="23" t="str">
        <f>IFERROR(VLOOKUP(B20,'Inventory List'!$B$3:$E$47,2,0),"–")</f>
        <v>–</v>
      </c>
      <c r="D20" s="23" t="str">
        <f>IFERROR(VLOOKUP(B20,'Inventory List'!$B$3:$E$47,3,0),"–")</f>
        <v>–</v>
      </c>
      <c r="E20" s="24" t="str">
        <f>IFERROR(VLOOKUP(B20,'Inventory List'!$B$3:$E$47,4,0),"–")</f>
        <v>–</v>
      </c>
      <c r="F20" s="25"/>
      <c r="G20" s="26">
        <f>IFERROR('MONTLY Sales Report (Rev.1)'!$E20*'MONTLY Sales Report (Rev.1)'!$F20,"")</f>
      </c>
      <c r="H20" s="26"/>
      <c r="I20" s="27">
        <f>IFERROR('MONTLY Sales Report (Rev.1)'!$G20-'MONTLY Sales Report (Rev.1)'!$H20,"")</f>
      </c>
    </row>
    <row r="21" ht="15.9" customHeight="1" spans="2:9" x14ac:dyDescent="0.25">
      <c r="B21" s="30"/>
      <c r="C21" s="31" t="str">
        <f>IFERROR(VLOOKUP(B21,'Inventory List'!$B$3:$E$47,2,0),"–")</f>
        <v>–</v>
      </c>
      <c r="D21" s="31" t="str">
        <f>IFERROR(VLOOKUP(B21,'Inventory List'!$B$3:$E$47,3,0),"–")</f>
        <v>–</v>
      </c>
      <c r="E21" s="32" t="str">
        <f>IFERROR(VLOOKUP(B21,'Inventory List'!$B$3:$E$47,4,0),"–")</f>
        <v>–</v>
      </c>
      <c r="F21" s="33"/>
      <c r="G21" s="34">
        <f>IFERROR('MONTLY Sales Report (Rev.1)'!$E21*'MONTLY Sales Report (Rev.1)'!$F21,"")</f>
      </c>
      <c r="H21" s="34"/>
      <c r="I21" s="35">
        <f>IFERROR('MONTLY Sales Report (Rev.1)'!$G21-'MONTLY Sales Report (Rev.1)'!$H21,"")</f>
      </c>
    </row>
    <row r="22" ht="15.9" customHeight="1" spans="2:9" x14ac:dyDescent="0.25">
      <c r="B22" s="22"/>
      <c r="C22" s="23" t="str">
        <f>IFERROR(VLOOKUP(B22,'Inventory List'!$B$3:$E$47,2,0),"–")</f>
        <v>–</v>
      </c>
      <c r="D22" s="23" t="str">
        <f>IFERROR(VLOOKUP(B22,'Inventory List'!$B$3:$E$47,3,0),"–")</f>
        <v>–</v>
      </c>
      <c r="E22" s="24" t="str">
        <f>IFERROR(VLOOKUP(B22,'Inventory List'!$B$3:$E$47,4,0),"–")</f>
        <v>–</v>
      </c>
      <c r="F22" s="25"/>
      <c r="G22" s="26">
        <f>IFERROR('MONTLY Sales Report (Rev.1)'!$E22*'MONTLY Sales Report (Rev.1)'!$F22,"")</f>
      </c>
      <c r="H22" s="26"/>
      <c r="I22" s="27">
        <f>IFERROR('MONTLY Sales Report (Rev.1)'!$G22-'MONTLY Sales Report (Rev.1)'!$H22,"")</f>
      </c>
    </row>
    <row r="23" ht="15.9" customHeight="1" spans="2:9" x14ac:dyDescent="0.25">
      <c r="B23" s="30"/>
      <c r="C23" s="31" t="str">
        <f>IFERROR(VLOOKUP(B23,'Inventory List'!$B$3:$E$47,2,0),"–")</f>
        <v>–</v>
      </c>
      <c r="D23" s="31" t="str">
        <f>IFERROR(VLOOKUP(B23,'Inventory List'!$B$3:$E$47,3,0),"–")</f>
        <v>–</v>
      </c>
      <c r="E23" s="32" t="str">
        <f>IFERROR(VLOOKUP(B23,'Inventory List'!$B$3:$E$47,4,0),"–")</f>
        <v>–</v>
      </c>
      <c r="F23" s="33"/>
      <c r="G23" s="34">
        <f>IFERROR('MONTLY Sales Report (Rev.1)'!$E23*'MONTLY Sales Report (Rev.1)'!$F23,"")</f>
      </c>
      <c r="H23" s="34"/>
      <c r="I23" s="35">
        <f>IFERROR('MONTLY Sales Report (Rev.1)'!$G23-'MONTLY Sales Report (Rev.1)'!$H23,"")</f>
      </c>
    </row>
    <row r="24" ht="15.9" customHeight="1" spans="2:9" x14ac:dyDescent="0.25">
      <c r="B24" s="22"/>
      <c r="C24" s="23" t="str">
        <f>IFERROR(VLOOKUP(B24,'Inventory List'!$B$3:$E$47,2,0),"–")</f>
        <v>–</v>
      </c>
      <c r="D24" s="23" t="str">
        <f>IFERROR(VLOOKUP(B24,'Inventory List'!$B$3:$E$47,3,0),"–")</f>
        <v>–</v>
      </c>
      <c r="E24" s="24" t="str">
        <f>IFERROR(VLOOKUP(B24,'Inventory List'!$B$3:$E$47,4,0),"–")</f>
        <v>–</v>
      </c>
      <c r="F24" s="25"/>
      <c r="G24" s="26">
        <f>IFERROR('MONTLY Sales Report (Rev.1)'!$E24*'MONTLY Sales Report (Rev.1)'!$F24,"")</f>
      </c>
      <c r="H24" s="26"/>
      <c r="I24" s="27">
        <f>IFERROR('MONTLY Sales Report (Rev.1)'!$G24-'MONTLY Sales Report (Rev.1)'!$H24,"")</f>
      </c>
    </row>
    <row r="25" ht="15.9" customHeight="1" spans="2:9" x14ac:dyDescent="0.25">
      <c r="B25" s="30"/>
      <c r="C25" s="31" t="str">
        <f>IFERROR(VLOOKUP(B25,'Inventory List'!$B$3:$E$47,2,0),"–")</f>
        <v>–</v>
      </c>
      <c r="D25" s="31" t="str">
        <f>IFERROR(VLOOKUP(B25,'Inventory List'!$B$3:$E$47,3,0),"–")</f>
        <v>–</v>
      </c>
      <c r="E25" s="32" t="str">
        <f>IFERROR(VLOOKUP(B25,'Inventory List'!$B$3:$E$47,4,0),"–")</f>
        <v>–</v>
      </c>
      <c r="F25" s="33"/>
      <c r="G25" s="34">
        <f>IFERROR('MONTLY Sales Report (Rev.1)'!$E25*'MONTLY Sales Report (Rev.1)'!$F25,"")</f>
      </c>
      <c r="H25" s="34"/>
      <c r="I25" s="35">
        <f>IFERROR('MONTLY Sales Report (Rev.1)'!$G25-'MONTLY Sales Report (Rev.1)'!$H25,"")</f>
      </c>
    </row>
    <row r="26" ht="15.9" customHeight="1" spans="2:9" x14ac:dyDescent="0.25">
      <c r="B26" s="22"/>
      <c r="C26" s="23" t="str">
        <f>IFERROR(VLOOKUP(B26,'Inventory List'!$B$3:$E$47,2,0),"–")</f>
        <v>–</v>
      </c>
      <c r="D26" s="23" t="str">
        <f>IFERROR(VLOOKUP(B26,'Inventory List'!$B$3:$E$47,3,0),"–")</f>
        <v>–</v>
      </c>
      <c r="E26" s="24" t="str">
        <f>IFERROR(VLOOKUP(B26,'Inventory List'!$B$3:$E$47,4,0),"–")</f>
        <v>–</v>
      </c>
      <c r="F26" s="25"/>
      <c r="G26" s="26">
        <f>IFERROR('MONTLY Sales Report (Rev.1)'!$E26*'MONTLY Sales Report (Rev.1)'!$F26,"")</f>
      </c>
      <c r="H26" s="26"/>
      <c r="I26" s="27">
        <f>IFERROR('MONTLY Sales Report (Rev.1)'!$G26-'MONTLY Sales Report (Rev.1)'!$H26,"")</f>
      </c>
    </row>
    <row r="27" ht="15.9" customHeight="1" spans="2:9" x14ac:dyDescent="0.25">
      <c r="B27" s="30"/>
      <c r="C27" s="31" t="str">
        <f>IFERROR(VLOOKUP(B27,'Inventory List'!$B$3:$E$47,2,0),"–")</f>
        <v>–</v>
      </c>
      <c r="D27" s="31" t="str">
        <f>IFERROR(VLOOKUP(B27,'Inventory List'!$B$3:$E$47,3,0),"–")</f>
        <v>–</v>
      </c>
      <c r="E27" s="32" t="str">
        <f>IFERROR(VLOOKUP(B27,'Inventory List'!$B$3:$E$47,4,0),"–")</f>
        <v>–</v>
      </c>
      <c r="F27" s="33"/>
      <c r="G27" s="34">
        <f>IFERROR('MONTLY Sales Report (Rev.1)'!$E27*'MONTLY Sales Report (Rev.1)'!$F27,"")</f>
      </c>
      <c r="H27" s="34"/>
      <c r="I27" s="35">
        <f>IFERROR('MONTLY Sales Report (Rev.1)'!$G27-'MONTLY Sales Report (Rev.1)'!$H27,"")</f>
      </c>
    </row>
    <row r="28" ht="15.9" customHeight="1" spans="2:9" x14ac:dyDescent="0.25">
      <c r="B28" s="22"/>
      <c r="C28" s="23" t="str">
        <f>IFERROR(VLOOKUP(B28,'Inventory List'!$B$3:$E$47,2,0),"–")</f>
        <v>–</v>
      </c>
      <c r="D28" s="23" t="str">
        <f>IFERROR(VLOOKUP(B28,'Inventory List'!$B$3:$E$47,3,0),"–")</f>
        <v>–</v>
      </c>
      <c r="E28" s="24" t="str">
        <f>IFERROR(VLOOKUP(B28,'Inventory List'!$B$3:$E$47,4,0),"–")</f>
        <v>–</v>
      </c>
      <c r="F28" s="25"/>
      <c r="G28" s="26">
        <f>IFERROR('MONTLY Sales Report (Rev.1)'!$E28*'MONTLY Sales Report (Rev.1)'!$F28,"")</f>
      </c>
      <c r="H28" s="26"/>
      <c r="I28" s="27">
        <f>IFERROR('MONTLY Sales Report (Rev.1)'!$G28-'MONTLY Sales Report (Rev.1)'!$H28,"")</f>
      </c>
    </row>
    <row r="29" ht="15.9" customHeight="1" spans="2:9" x14ac:dyDescent="0.25">
      <c r="B29" s="30"/>
      <c r="C29" s="31" t="str">
        <f>IFERROR(VLOOKUP(B29,'Inventory List'!$B$3:$E$47,2,0),"–")</f>
        <v>–</v>
      </c>
      <c r="D29" s="31" t="str">
        <f>IFERROR(VLOOKUP(B29,'Inventory List'!$B$3:$E$47,3,0),"–")</f>
        <v>–</v>
      </c>
      <c r="E29" s="32" t="str">
        <f>IFERROR(VLOOKUP(B29,'Inventory List'!$B$3:$E$47,4,0),"–")</f>
        <v>–</v>
      </c>
      <c r="F29" s="33"/>
      <c r="G29" s="34">
        <f>IFERROR('MONTLY Sales Report (Rev.1)'!$E29*'MONTLY Sales Report (Rev.1)'!$F29,"")</f>
      </c>
      <c r="H29" s="34"/>
      <c r="I29" s="35">
        <f>IFERROR('MONTLY Sales Report (Rev.1)'!$G29-'MONTLY Sales Report (Rev.1)'!$H29,"")</f>
      </c>
    </row>
    <row r="30" ht="15.9" customHeight="1" spans="2:9" x14ac:dyDescent="0.25">
      <c r="B30" s="22"/>
      <c r="C30" s="23" t="str">
        <f>IFERROR(VLOOKUP(B30,'Inventory List'!$B$3:$E$47,2,0),"–")</f>
        <v>–</v>
      </c>
      <c r="D30" s="23" t="str">
        <f>IFERROR(VLOOKUP(B30,'Inventory List'!$B$3:$E$47,3,0),"–")</f>
        <v>–</v>
      </c>
      <c r="E30" s="24" t="str">
        <f>IFERROR(VLOOKUP(B30,'Inventory List'!$B$3:$E$47,4,0),"–")</f>
        <v>–</v>
      </c>
      <c r="F30" s="25"/>
      <c r="G30" s="26">
        <f>IFERROR('MONTLY Sales Report (Rev.1)'!$E30*'MONTLY Sales Report (Rev.1)'!$F30,"")</f>
      </c>
      <c r="H30" s="26"/>
      <c r="I30" s="27">
        <f>IFERROR('MONTLY Sales Report (Rev.1)'!$G30-'MONTLY Sales Report (Rev.1)'!$H30,"")</f>
      </c>
    </row>
    <row r="31" ht="15.9" customHeight="1" spans="2:9" x14ac:dyDescent="0.25">
      <c r="B31" s="30"/>
      <c r="C31" s="31" t="str">
        <f>IFERROR(VLOOKUP(B31,'Inventory List'!$B$3:$E$47,2,0),"–")</f>
        <v>–</v>
      </c>
      <c r="D31" s="31" t="str">
        <f>IFERROR(VLOOKUP(B31,'Inventory List'!$B$3:$E$47,3,0),"–")</f>
        <v>–</v>
      </c>
      <c r="E31" s="32" t="str">
        <f>IFERROR(VLOOKUP(B31,'Inventory List'!$B$3:$E$47,4,0),"–")</f>
        <v>–</v>
      </c>
      <c r="F31" s="33"/>
      <c r="G31" s="34">
        <f>IFERROR('MONTLY Sales Report (Rev.1)'!$E31*'MONTLY Sales Report (Rev.1)'!$F31,"")</f>
      </c>
      <c r="H31" s="34"/>
      <c r="I31" s="35">
        <f>IFERROR('MONTLY Sales Report (Rev.1)'!$G31-'MONTLY Sales Report (Rev.1)'!$H31,"")</f>
      </c>
    </row>
    <row r="32" ht="15.9" customHeight="1" spans="2:9" x14ac:dyDescent="0.25">
      <c r="B32" s="22"/>
      <c r="C32" s="23" t="str">
        <f>IFERROR(VLOOKUP(B32,'Inventory List'!$B$3:$E$47,2,0),"–")</f>
        <v>–</v>
      </c>
      <c r="D32" s="23" t="str">
        <f>IFERROR(VLOOKUP(B32,'Inventory List'!$B$3:$E$47,3,0),"–")</f>
        <v>–</v>
      </c>
      <c r="E32" s="24" t="str">
        <f>IFERROR(VLOOKUP(B32,'Inventory List'!$B$3:$E$47,4,0),"–")</f>
        <v>–</v>
      </c>
      <c r="F32" s="25"/>
      <c r="G32" s="26">
        <f>IFERROR('MONTLY Sales Report (Rev.1)'!$E32*'MONTLY Sales Report (Rev.1)'!$F32,"")</f>
      </c>
      <c r="H32" s="26"/>
      <c r="I32" s="27">
        <f>IFERROR('MONTLY Sales Report (Rev.1)'!$G32-'MONTLY Sales Report (Rev.1)'!$H32,"")</f>
      </c>
    </row>
    <row r="33" ht="15.9" customHeight="1" spans="2:9" x14ac:dyDescent="0.25">
      <c r="B33" s="30"/>
      <c r="C33" s="31" t="str">
        <f>IFERROR(VLOOKUP(B33,'Inventory List'!$B$3:$E$47,2,0),"–")</f>
        <v>–</v>
      </c>
      <c r="D33" s="31" t="str">
        <f>IFERROR(VLOOKUP(B33,'Inventory List'!$B$3:$E$47,3,0),"–")</f>
        <v>–</v>
      </c>
      <c r="E33" s="32" t="str">
        <f>IFERROR(VLOOKUP(B33,'Inventory List'!$B$3:$E$47,4,0),"–")</f>
        <v>–</v>
      </c>
      <c r="F33" s="33"/>
      <c r="G33" s="34">
        <f>IFERROR('MONTLY Sales Report (Rev.1)'!$E33*'MONTLY Sales Report (Rev.1)'!$F33,"")</f>
      </c>
      <c r="H33" s="34"/>
      <c r="I33" s="35">
        <f>IFERROR('MONTLY Sales Report (Rev.1)'!$G33-'MONTLY Sales Report (Rev.1)'!$H33,"")</f>
      </c>
    </row>
    <row r="34" ht="15.9" customHeight="1" spans="2:9" x14ac:dyDescent="0.25">
      <c r="B34" s="22"/>
      <c r="C34" s="23" t="str">
        <f>IFERROR(VLOOKUP(B34,'Inventory List'!$B$3:$E$47,2,0),"–")</f>
        <v>–</v>
      </c>
      <c r="D34" s="23" t="str">
        <f>IFERROR(VLOOKUP(B34,'Inventory List'!$B$3:$E$47,3,0),"–")</f>
        <v>–</v>
      </c>
      <c r="E34" s="24" t="str">
        <f>IFERROR(VLOOKUP(B34,'Inventory List'!$B$3:$E$47,4,0),"–")</f>
        <v>–</v>
      </c>
      <c r="F34" s="25"/>
      <c r="G34" s="26">
        <f>IFERROR('MONTLY Sales Report (Rev.1)'!$E34*'MONTLY Sales Report (Rev.1)'!$F34,"")</f>
      </c>
      <c r="H34" s="26"/>
      <c r="I34" s="27">
        <f>IFERROR('MONTLY Sales Report (Rev.1)'!$G34-'MONTLY Sales Report (Rev.1)'!$H34,"")</f>
      </c>
    </row>
    <row r="35" ht="15.9" customHeight="1" spans="2:9" x14ac:dyDescent="0.25">
      <c r="B35" s="30"/>
      <c r="C35" s="31" t="str">
        <f>IFERROR(VLOOKUP(B35,'Inventory List'!$B$3:$E$47,2,0),"–")</f>
        <v>–</v>
      </c>
      <c r="D35" s="31" t="str">
        <f>IFERROR(VLOOKUP(B35,'Inventory List'!$B$3:$E$47,3,0),"–")</f>
        <v>–</v>
      </c>
      <c r="E35" s="32" t="str">
        <f>IFERROR(VLOOKUP(B35,'Inventory List'!$B$3:$E$47,4,0),"–")</f>
        <v>–</v>
      </c>
      <c r="F35" s="33"/>
      <c r="G35" s="34">
        <f>IFERROR('MONTLY Sales Report (Rev.1)'!$E35*'MONTLY Sales Report (Rev.1)'!$F35,"")</f>
      </c>
      <c r="H35" s="34"/>
      <c r="I35" s="35">
        <f>IFERROR('MONTLY Sales Report (Rev.1)'!$G35-'MONTLY Sales Report (Rev.1)'!$H35,"")</f>
      </c>
    </row>
    <row r="36" ht="15.9" customHeight="1" spans="2:9" x14ac:dyDescent="0.25">
      <c r="B36" s="22"/>
      <c r="C36" s="23" t="str">
        <f>IFERROR(VLOOKUP(B36,'Inventory List'!$B$3:$E$47,2,0),"–")</f>
        <v>–</v>
      </c>
      <c r="D36" s="23" t="str">
        <f>IFERROR(VLOOKUP(B36,'Inventory List'!$B$3:$E$47,3,0),"–")</f>
        <v>–</v>
      </c>
      <c r="E36" s="24" t="str">
        <f>IFERROR(VLOOKUP(B36,'Inventory List'!$B$3:$E$47,4,0),"–")</f>
        <v>–</v>
      </c>
      <c r="F36" s="25"/>
      <c r="G36" s="26">
        <f>IFERROR('MONTLY Sales Report (Rev.1)'!$E36*'MONTLY Sales Report (Rev.1)'!$F36,"")</f>
      </c>
      <c r="H36" s="26"/>
      <c r="I36" s="27">
        <f>IFERROR('MONTLY Sales Report (Rev.1)'!$G36-'MONTLY Sales Report (Rev.1)'!$H36,"")</f>
      </c>
    </row>
    <row r="37" ht="15.9" customHeight="1" spans="2:9" x14ac:dyDescent="0.25">
      <c r="B37" s="30"/>
      <c r="C37" s="31" t="str">
        <f>IFERROR(VLOOKUP(B37,'Inventory List'!$B$3:$E$47,2,0),"–")</f>
        <v>–</v>
      </c>
      <c r="D37" s="31" t="str">
        <f>IFERROR(VLOOKUP(B37,'Inventory List'!$B$3:$E$47,3,0),"–")</f>
        <v>–</v>
      </c>
      <c r="E37" s="32" t="str">
        <f>IFERROR(VLOOKUP(B37,'Inventory List'!$B$3:$E$47,4,0),"–")</f>
        <v>–</v>
      </c>
      <c r="F37" s="33"/>
      <c r="G37" s="34">
        <f>IFERROR('MONTLY Sales Report (Rev.1)'!$E37*'MONTLY Sales Report (Rev.1)'!$F37,"")</f>
      </c>
      <c r="H37" s="34"/>
      <c r="I37" s="35">
        <f>IFERROR('MONTLY Sales Report (Rev.1)'!$G37-'MONTLY Sales Report (Rev.1)'!$H37,"")</f>
      </c>
    </row>
    <row r="38" ht="15.9" customHeight="1" spans="2:9" x14ac:dyDescent="0.25">
      <c r="B38" s="22"/>
      <c r="C38" s="23" t="str">
        <f>IFERROR(VLOOKUP(B38,'Inventory List'!$B$3:$E$47,2,0),"–")</f>
        <v>–</v>
      </c>
      <c r="D38" s="23" t="str">
        <f>IFERROR(VLOOKUP(B38,'Inventory List'!$B$3:$E$47,3,0),"–")</f>
        <v>–</v>
      </c>
      <c r="E38" s="24" t="str">
        <f>IFERROR(VLOOKUP(B38,'Inventory List'!$B$3:$E$47,4,0),"–")</f>
        <v>–</v>
      </c>
      <c r="F38" s="25"/>
      <c r="G38" s="26">
        <f>IFERROR('MONTLY Sales Report (Rev.1)'!$E38*'MONTLY Sales Report (Rev.1)'!$F38,"")</f>
      </c>
      <c r="H38" s="26"/>
      <c r="I38" s="27">
        <f>IFERROR('MONTLY Sales Report (Rev.1)'!$G38-'MONTLY Sales Report (Rev.1)'!$H38,"")</f>
      </c>
    </row>
    <row r="39" ht="15.9" customHeight="1" spans="2:9" x14ac:dyDescent="0.25">
      <c r="B39" s="30"/>
      <c r="C39" s="31" t="str">
        <f>IFERROR(VLOOKUP(B39,'Inventory List'!$B$3:$E$47,2,0),"–")</f>
        <v>–</v>
      </c>
      <c r="D39" s="31" t="str">
        <f>IFERROR(VLOOKUP(B39,'Inventory List'!$B$3:$E$47,3,0),"–")</f>
        <v>–</v>
      </c>
      <c r="E39" s="32" t="str">
        <f>IFERROR(VLOOKUP(B39,'Inventory List'!$B$3:$E$47,4,0),"–")</f>
        <v>–</v>
      </c>
      <c r="F39" s="33"/>
      <c r="G39" s="34">
        <f>IFERROR('MONTLY Sales Report (Rev.1)'!$E39*'MONTLY Sales Report (Rev.1)'!$F39,"")</f>
      </c>
      <c r="H39" s="34"/>
      <c r="I39" s="35">
        <f>IFERROR('MONTLY Sales Report (Rev.1)'!$G39-'MONTLY Sales Report (Rev.1)'!$H39,"")</f>
      </c>
    </row>
    <row r="40" ht="15.9" customHeight="1" spans="2:9" x14ac:dyDescent="0.25">
      <c r="B40" s="22"/>
      <c r="C40" s="23" t="str">
        <f>IFERROR(VLOOKUP(B40,'Inventory List'!$B$3:$E$47,2,0),"–")</f>
        <v>–</v>
      </c>
      <c r="D40" s="23" t="str">
        <f>IFERROR(VLOOKUP(B40,'Inventory List'!$B$3:$E$47,3,0),"–")</f>
        <v>–</v>
      </c>
      <c r="E40" s="24" t="str">
        <f>IFERROR(VLOOKUP(B40,'Inventory List'!$B$3:$E$47,4,0),"–")</f>
        <v>–</v>
      </c>
      <c r="F40" s="25"/>
      <c r="G40" s="26">
        <f>IFERROR('MONTLY Sales Report (Rev.1)'!$E40*'MONTLY Sales Report (Rev.1)'!$F40,"")</f>
      </c>
      <c r="H40" s="26"/>
      <c r="I40" s="27">
        <f>IFERROR('MONTLY Sales Report (Rev.1)'!$G40-'MONTLY Sales Report (Rev.1)'!$H40,"")</f>
      </c>
    </row>
    <row r="41" ht="15.9" customHeight="1" spans="2:9" x14ac:dyDescent="0.25">
      <c r="B41" s="30"/>
      <c r="C41" s="31" t="str">
        <f>IFERROR(VLOOKUP(B41,'Inventory List'!$B$3:$E$47,2,0),"–")</f>
        <v>–</v>
      </c>
      <c r="D41" s="31" t="str">
        <f>IFERROR(VLOOKUP(B41,'Inventory List'!$B$3:$E$47,3,0),"–")</f>
        <v>–</v>
      </c>
      <c r="E41" s="32" t="str">
        <f>IFERROR(VLOOKUP(B41,'Inventory List'!$B$3:$E$47,4,0),"–")</f>
        <v>–</v>
      </c>
      <c r="F41" s="33"/>
      <c r="G41" s="34">
        <f>IFERROR('MONTLY Sales Report (Rev.1)'!$E41*'MONTLY Sales Report (Rev.1)'!$F41,"")</f>
      </c>
      <c r="H41" s="34"/>
      <c r="I41" s="35">
        <f>IFERROR('MONTLY Sales Report (Rev.1)'!$G41-'MONTLY Sales Report (Rev.1)'!$H41,"")</f>
      </c>
    </row>
    <row r="42" spans="2:9" x14ac:dyDescent="0.25">
      <c r="B42" s="22"/>
      <c r="C42" s="23" t="str">
        <f>IFERROR(VLOOKUP(B42,'Inventory List'!$B$3:$E$47,2,0),"–")</f>
        <v>–</v>
      </c>
      <c r="D42" s="23" t="str">
        <f>IFERROR(VLOOKUP(B42,'Inventory List'!$B$3:$E$47,3,0),"–")</f>
        <v>–</v>
      </c>
      <c r="E42" s="24" t="str">
        <f>IFERROR(VLOOKUP(B42,'Inventory List'!$B$3:$E$47,4,0),"–")</f>
        <v>–</v>
      </c>
      <c r="F42" s="25"/>
      <c r="G42" s="26">
        <f>IFERROR('MONTLY Sales Report (Rev.1)'!$E42*'MONTLY Sales Report (Rev.1)'!$F42,"")</f>
      </c>
      <c r="H42" s="26"/>
      <c r="I42" s="27">
        <f>IFERROR('MONTLY Sales Report (Rev.1)'!$G42-'MONTLY Sales Report (Rev.1)'!$H42,"")</f>
      </c>
    </row>
    <row r="43" spans="2:9" x14ac:dyDescent="0.25">
      <c r="B43" s="30"/>
      <c r="C43" s="31" t="str">
        <f>IFERROR(VLOOKUP(B43,'Inventory List'!$B$3:$E$47,2,0),"–")</f>
        <v>–</v>
      </c>
      <c r="D43" s="31" t="str">
        <f>IFERROR(VLOOKUP(B43,'Inventory List'!$B$3:$E$47,3,0),"–")</f>
        <v>–</v>
      </c>
      <c r="E43" s="32" t="str">
        <f>IFERROR(VLOOKUP(B43,'Inventory List'!$B$3:$E$47,4,0),"–")</f>
        <v>–</v>
      </c>
      <c r="F43" s="33"/>
      <c r="G43" s="34">
        <f>IFERROR('MONTLY Sales Report (Rev.1)'!$E43*'MONTLY Sales Report (Rev.1)'!$F43,"")</f>
      </c>
      <c r="H43" s="34"/>
      <c r="I43" s="35">
        <f>IFERROR('MONTLY Sales Report (Rev.1)'!$G43-'MONTLY Sales Report (Rev.1)'!$H43,"")</f>
      </c>
    </row>
    <row r="44" spans="2:9" x14ac:dyDescent="0.25">
      <c r="B44" s="22"/>
      <c r="C44" s="23" t="str">
        <f>IFERROR(VLOOKUP(B44,'Inventory List'!$B$3:$E$47,2,0),"–")</f>
        <v>–</v>
      </c>
      <c r="D44" s="23" t="str">
        <f>IFERROR(VLOOKUP(B44,'Inventory List'!$B$3:$E$47,3,0),"–")</f>
        <v>–</v>
      </c>
      <c r="E44" s="24" t="str">
        <f>IFERROR(VLOOKUP(B44,'Inventory List'!$B$3:$E$47,4,0),"–")</f>
        <v>–</v>
      </c>
      <c r="F44" s="25"/>
      <c r="G44" s="26">
        <f>IFERROR('MONTLY Sales Report (Rev.1)'!$E44*'MONTLY Sales Report (Rev.1)'!$F44,"")</f>
      </c>
      <c r="H44" s="26"/>
      <c r="I44" s="27">
        <f>IFERROR('MONTLY Sales Report (Rev.1)'!$G44-'MONTLY Sales Report (Rev.1)'!$H44,"")</f>
      </c>
    </row>
    <row r="45" spans="2:9" x14ac:dyDescent="0.25">
      <c r="B45" s="30"/>
      <c r="C45" s="31" t="str">
        <f>IFERROR(VLOOKUP(B45,'Inventory List'!$B$3:$E$47,2,0),"–")</f>
        <v>–</v>
      </c>
      <c r="D45" s="31" t="str">
        <f>IFERROR(VLOOKUP(B45,'Inventory List'!$B$3:$E$47,3,0),"–")</f>
        <v>–</v>
      </c>
      <c r="E45" s="32" t="str">
        <f>IFERROR(VLOOKUP(B45,'Inventory List'!$B$3:$E$47,4,0),"–")</f>
        <v>–</v>
      </c>
      <c r="F45" s="33"/>
      <c r="G45" s="34">
        <f>IFERROR('MONTLY Sales Report (Rev.1)'!$E45*'MONTLY Sales Report (Rev.1)'!$F45,"")</f>
      </c>
      <c r="H45" s="34"/>
      <c r="I45" s="35">
        <f>IFERROR('MONTLY Sales Report (Rev.1)'!$G45-'MONTLY Sales Report (Rev.1)'!$H45,"")</f>
      </c>
    </row>
    <row r="46" spans="2:9" x14ac:dyDescent="0.25">
      <c r="B46" s="22"/>
      <c r="C46" s="23" t="str">
        <f>IFERROR(VLOOKUP(B46,'Inventory List'!$B$3:$E$47,2,0),"–")</f>
        <v>–</v>
      </c>
      <c r="D46" s="23" t="str">
        <f>IFERROR(VLOOKUP(B46,'Inventory List'!$B$3:$E$47,3,0),"–")</f>
        <v>–</v>
      </c>
      <c r="E46" s="24" t="str">
        <f>IFERROR(VLOOKUP(B46,'Inventory List'!$B$3:$E$47,4,0),"–")</f>
        <v>–</v>
      </c>
      <c r="F46" s="25"/>
      <c r="G46" s="26">
        <f>IFERROR('MONTLY Sales Report (Rev.1)'!$E46*'MONTLY Sales Report (Rev.1)'!$F46,"")</f>
      </c>
      <c r="H46" s="26"/>
      <c r="I46" s="27">
        <f>IFERROR('MONTLY Sales Report (Rev.1)'!$G46-'MONTLY Sales Report (Rev.1)'!$H46,"")</f>
      </c>
    </row>
    <row r="47" spans="2:9" x14ac:dyDescent="0.25">
      <c r="B47" s="30"/>
      <c r="C47" s="31" t="str">
        <f>IFERROR(VLOOKUP(B47,'Inventory List'!$B$3:$E$47,2,0),"–")</f>
        <v>–</v>
      </c>
      <c r="D47" s="31" t="str">
        <f>IFERROR(VLOOKUP(B47,'Inventory List'!$B$3:$E$47,3,0),"–")</f>
        <v>–</v>
      </c>
      <c r="E47" s="32" t="str">
        <f>IFERROR(VLOOKUP(B47,'Inventory List'!$B$3:$E$47,4,0),"–")</f>
        <v>–</v>
      </c>
      <c r="F47" s="33"/>
      <c r="G47" s="34">
        <f>IFERROR('MONTLY Sales Report (Rev.1)'!$E47*'MONTLY Sales Report (Rev.1)'!$F47,"")</f>
      </c>
      <c r="H47" s="34"/>
      <c r="I47" s="35">
        <f>IFERROR('MONTLY Sales Report (Rev.1)'!$G47-'MONTLY Sales Report (Rev.1)'!$H47,"")</f>
      </c>
    </row>
    <row r="48" spans="2:9" x14ac:dyDescent="0.25">
      <c r="B48" s="22"/>
      <c r="C48" s="23" t="str">
        <f>IFERROR(VLOOKUP(B48,'Inventory List'!$B$3:$E$47,2,0),"–")</f>
        <v>–</v>
      </c>
      <c r="D48" s="23" t="str">
        <f>IFERROR(VLOOKUP(B48,'Inventory List'!$B$3:$E$47,3,0),"–")</f>
        <v>–</v>
      </c>
      <c r="E48" s="24" t="str">
        <f>IFERROR(VLOOKUP(B48,'Inventory List'!$B$3:$E$47,4,0),"–")</f>
        <v>–</v>
      </c>
      <c r="F48" s="25"/>
      <c r="G48" s="26">
        <f>IFERROR('MONTLY Sales Report (Rev.1)'!$E48*'MONTLY Sales Report (Rev.1)'!$F48,"")</f>
      </c>
      <c r="H48" s="26"/>
      <c r="I48" s="27">
        <f>IFERROR('MONTLY Sales Report (Rev.1)'!$G48-'MONTLY Sales Report (Rev.1)'!$H48,"")</f>
      </c>
    </row>
    <row r="49" spans="2:9" x14ac:dyDescent="0.25">
      <c r="B49" s="30"/>
      <c r="C49" s="31" t="str">
        <f>IFERROR(VLOOKUP(B49,'Inventory List'!$B$3:$E$47,2,0),"–")</f>
        <v>–</v>
      </c>
      <c r="D49" s="31" t="str">
        <f>IFERROR(VLOOKUP(B49,'Inventory List'!$B$3:$E$47,3,0),"–")</f>
        <v>–</v>
      </c>
      <c r="E49" s="32" t="str">
        <f>IFERROR(VLOOKUP(B49,'Inventory List'!$B$3:$E$47,4,0),"–")</f>
        <v>–</v>
      </c>
      <c r="F49" s="33"/>
      <c r="G49" s="34">
        <f>IFERROR('MONTLY Sales Report (Rev.1)'!$E49*'MONTLY Sales Report (Rev.1)'!$F49,"")</f>
      </c>
      <c r="H49" s="34"/>
      <c r="I49" s="35">
        <f>IFERROR('MONTLY Sales Report (Rev.1)'!$G49-'MONTLY Sales Report (Rev.1)'!$H49,"")</f>
      </c>
    </row>
    <row r="50" spans="2:9" x14ac:dyDescent="0.25">
      <c r="B50" s="22"/>
      <c r="C50" s="23" t="str">
        <f>IFERROR(VLOOKUP(B50,'Inventory List'!$B$3:$E$47,2,0),"–")</f>
        <v>–</v>
      </c>
      <c r="D50" s="23" t="str">
        <f>IFERROR(VLOOKUP(B50,'Inventory List'!$B$3:$E$47,3,0),"–")</f>
        <v>–</v>
      </c>
      <c r="E50" s="24" t="str">
        <f>IFERROR(VLOOKUP(B50,'Inventory List'!$B$3:$E$47,4,0),"–")</f>
        <v>–</v>
      </c>
      <c r="F50" s="25"/>
      <c r="G50" s="26">
        <f>IFERROR('MONTLY Sales Report (Rev.1)'!$E50*'MONTLY Sales Report (Rev.1)'!$F50,"")</f>
      </c>
      <c r="H50" s="26"/>
      <c r="I50" s="27">
        <f>IFERROR('MONTLY Sales Report (Rev.1)'!$G50-'MONTLY Sales Report (Rev.1)'!$H50,"")</f>
      </c>
    </row>
    <row r="51" spans="2:9" x14ac:dyDescent="0.25">
      <c r="B51" s="30"/>
      <c r="C51" s="31" t="str">
        <f>IFERROR(VLOOKUP(B51,'Inventory List'!$B$3:$E$47,2,0),"–")</f>
        <v>–</v>
      </c>
      <c r="D51" s="31" t="str">
        <f>IFERROR(VLOOKUP(B51,'Inventory List'!$B$3:$E$47,3,0),"–")</f>
        <v>–</v>
      </c>
      <c r="E51" s="32" t="str">
        <f>IFERROR(VLOOKUP(B51,'Inventory List'!$B$3:$E$47,4,0),"–")</f>
        <v>–</v>
      </c>
      <c r="F51" s="33"/>
      <c r="G51" s="34">
        <f>IFERROR('MONTLY Sales Report (Rev.1)'!$E51*'MONTLY Sales Report (Rev.1)'!$F51,"")</f>
      </c>
      <c r="H51" s="34"/>
      <c r="I51" s="35">
        <f>IFERROR('MONTLY Sales Report (Rev.1)'!$G51-'MONTLY Sales Report (Rev.1)'!$H51,"")</f>
      </c>
    </row>
    <row r="52" spans="2:9" x14ac:dyDescent="0.25">
      <c r="B52" s="22"/>
      <c r="C52" s="23" t="str">
        <f>IFERROR(VLOOKUP(B52,'Inventory List'!$B$3:$E$47,2,0),"–")</f>
        <v>–</v>
      </c>
      <c r="D52" s="23" t="str">
        <f>IFERROR(VLOOKUP(B52,'Inventory List'!$B$3:$E$47,3,0),"–")</f>
        <v>–</v>
      </c>
      <c r="E52" s="24" t="str">
        <f>IFERROR(VLOOKUP(B52,'Inventory List'!$B$3:$E$47,4,0),"–")</f>
        <v>–</v>
      </c>
      <c r="F52" s="25"/>
      <c r="G52" s="26">
        <f>IFERROR('MONTLY Sales Report (Rev.1)'!$E52*'MONTLY Sales Report (Rev.1)'!$F52,"")</f>
      </c>
      <c r="H52" s="26"/>
      <c r="I52" s="27">
        <f>IFERROR('MONTLY Sales Report (Rev.1)'!$G52-'MONTLY Sales Report (Rev.1)'!$H52,"")</f>
      </c>
    </row>
    <row r="53" spans="2:9" x14ac:dyDescent="0.25">
      <c r="B53" s="30"/>
      <c r="C53" s="31" t="str">
        <f>IFERROR(VLOOKUP(B53,'Inventory List'!$B$3:$E$47,2,0),"–")</f>
        <v>–</v>
      </c>
      <c r="D53" s="31" t="str">
        <f>IFERROR(VLOOKUP(B53,'Inventory List'!$B$3:$E$47,3,0),"–")</f>
        <v>–</v>
      </c>
      <c r="E53" s="32" t="str">
        <f>IFERROR(VLOOKUP(B53,'Inventory List'!$B$3:$E$47,4,0),"–")</f>
        <v>–</v>
      </c>
      <c r="F53" s="33"/>
      <c r="G53" s="34">
        <f>IFERROR('MONTLY Sales Report (Rev.1)'!$E53*'MONTLY Sales Report (Rev.1)'!$F53,"")</f>
      </c>
      <c r="H53" s="34"/>
      <c r="I53" s="35">
        <f>IFERROR('MONTLY Sales Report (Rev.1)'!$G53-'MONTLY Sales Report (Rev.1)'!$H53,"")</f>
      </c>
    </row>
    <row r="54" spans="2:9" x14ac:dyDescent="0.25">
      <c r="B54" s="22"/>
      <c r="C54" s="23" t="str">
        <f>IFERROR(VLOOKUP(B54,'Inventory List'!$B$3:$E$47,2,0),"–")</f>
        <v>–</v>
      </c>
      <c r="D54" s="23" t="str">
        <f>IFERROR(VLOOKUP(B54,'Inventory List'!$B$3:$E$47,3,0),"–")</f>
        <v>–</v>
      </c>
      <c r="E54" s="24" t="str">
        <f>IFERROR(VLOOKUP(B54,'Inventory List'!$B$3:$E$47,4,0),"–")</f>
        <v>–</v>
      </c>
      <c r="F54" s="25"/>
      <c r="G54" s="26">
        <f>IFERROR('MONTLY Sales Report (Rev.1)'!$E54*'MONTLY Sales Report (Rev.1)'!$F54,"")</f>
      </c>
      <c r="H54" s="26"/>
      <c r="I54" s="27">
        <f>IFERROR('MONTLY Sales Report (Rev.1)'!$G54-'MONTLY Sales Report (Rev.1)'!$H54,"")</f>
      </c>
    </row>
    <row r="55" spans="2:9" x14ac:dyDescent="0.25">
      <c r="B55" s="30"/>
      <c r="C55" s="31" t="str">
        <f>IFERROR(VLOOKUP(B55,'Inventory List'!$B$3:$E$47,2,0),"–")</f>
        <v>–</v>
      </c>
      <c r="D55" s="31" t="str">
        <f>IFERROR(VLOOKUP(B55,'Inventory List'!$B$3:$E$47,3,0),"–")</f>
        <v>–</v>
      </c>
      <c r="E55" s="32" t="str">
        <f>IFERROR(VLOOKUP(B55,'Inventory List'!$B$3:$E$47,4,0),"–")</f>
        <v>–</v>
      </c>
      <c r="F55" s="33"/>
      <c r="G55" s="34">
        <f>IFERROR('MONTLY Sales Report (Rev.1)'!$E55*'MONTLY Sales Report (Rev.1)'!$F55,"")</f>
      </c>
      <c r="H55" s="34"/>
      <c r="I55" s="35">
        <f>IFERROR('MONTLY Sales Report (Rev.1)'!$G55-'MONTLY Sales Report (Rev.1)'!$H55,"")</f>
      </c>
    </row>
    <row r="56" spans="2:9" x14ac:dyDescent="0.25">
      <c r="B56" s="22"/>
      <c r="C56" s="23" t="str">
        <f>IFERROR(VLOOKUP(B56,'Inventory List'!$B$3:$E$47,2,0),"–")</f>
        <v>–</v>
      </c>
      <c r="D56" s="23" t="str">
        <f>IFERROR(VLOOKUP(B56,'Inventory List'!$B$3:$E$47,3,0),"–")</f>
        <v>–</v>
      </c>
      <c r="E56" s="24" t="str">
        <f>IFERROR(VLOOKUP(B56,'Inventory List'!$B$3:$E$47,4,0),"–")</f>
        <v>–</v>
      </c>
      <c r="F56" s="25"/>
      <c r="G56" s="26">
        <f>IFERROR('MONTLY Sales Report (Rev.1)'!$E56*'MONTLY Sales Report (Rev.1)'!$F56,"")</f>
      </c>
      <c r="H56" s="26"/>
      <c r="I56" s="27">
        <f>IFERROR('MONTLY Sales Report (Rev.1)'!$G56-'MONTLY Sales Report (Rev.1)'!$H56,"")</f>
      </c>
    </row>
    <row r="57" spans="2:9" x14ac:dyDescent="0.25">
      <c r="B57" s="30"/>
      <c r="C57" s="31" t="str">
        <f>IFERROR(VLOOKUP(B57,'Inventory List'!$B$3:$E$47,2,0),"–")</f>
        <v>–</v>
      </c>
      <c r="D57" s="31" t="str">
        <f>IFERROR(VLOOKUP(B57,'Inventory List'!$B$3:$E$47,3,0),"–")</f>
        <v>–</v>
      </c>
      <c r="E57" s="32" t="str">
        <f>IFERROR(VLOOKUP(B57,'Inventory List'!$B$3:$E$47,4,0),"–")</f>
        <v>–</v>
      </c>
      <c r="F57" s="33"/>
      <c r="G57" s="34">
        <f>IFERROR('MONTLY Sales Report (Rev.1)'!$E57*'MONTLY Sales Report (Rev.1)'!$F57,"")</f>
      </c>
      <c r="H57" s="34"/>
      <c r="I57" s="35">
        <f>IFERROR('MONTLY Sales Report (Rev.1)'!$G57-'MONTLY Sales Report (Rev.1)'!$H57,"")</f>
      </c>
    </row>
    <row r="58" spans="2:9" x14ac:dyDescent="0.25">
      <c r="B58" s="22"/>
      <c r="C58" s="23" t="str">
        <f>IFERROR(VLOOKUP(B58,'Inventory List'!$B$3:$E$47,2,0),"–")</f>
        <v>–</v>
      </c>
      <c r="D58" s="23" t="str">
        <f>IFERROR(VLOOKUP(B58,'Inventory List'!$B$3:$E$47,3,0),"–")</f>
        <v>–</v>
      </c>
      <c r="E58" s="24" t="str">
        <f>IFERROR(VLOOKUP(B58,'Inventory List'!$B$3:$E$47,4,0),"–")</f>
        <v>–</v>
      </c>
      <c r="F58" s="25"/>
      <c r="G58" s="26">
        <f>IFERROR('MONTLY Sales Report (Rev.1)'!$E58*'MONTLY Sales Report (Rev.1)'!$F58,"")</f>
      </c>
      <c r="H58" s="26"/>
      <c r="I58" s="27">
        <f>IFERROR('MONTLY Sales Report (Rev.1)'!$G58-'MONTLY Sales Report (Rev.1)'!$H58,"")</f>
      </c>
    </row>
    <row r="59" spans="2:9" x14ac:dyDescent="0.25">
      <c r="B59" s="30"/>
      <c r="C59" s="31" t="str">
        <f>IFERROR(VLOOKUP(B59,'Inventory List'!$B$3:$E$47,2,0),"–")</f>
        <v>–</v>
      </c>
      <c r="D59" s="31" t="str">
        <f>IFERROR(VLOOKUP(B59,'Inventory List'!$B$3:$E$47,3,0),"–")</f>
        <v>–</v>
      </c>
      <c r="E59" s="32" t="str">
        <f>IFERROR(VLOOKUP(B59,'Inventory List'!$B$3:$E$47,4,0),"–")</f>
        <v>–</v>
      </c>
      <c r="F59" s="33"/>
      <c r="G59" s="34">
        <f>IFERROR('MONTLY Sales Report (Rev.1)'!$E59*'MONTLY Sales Report (Rev.1)'!$F59,"")</f>
      </c>
      <c r="H59" s="34"/>
      <c r="I59" s="35">
        <f>IFERROR('MONTLY Sales Report (Rev.1)'!$G59-'MONTLY Sales Report (Rev.1)'!$H59,"")</f>
      </c>
    </row>
    <row r="60" spans="2:9" x14ac:dyDescent="0.25">
      <c r="B60" s="22"/>
      <c r="C60" s="23" t="str">
        <f>IFERROR(VLOOKUP(B60,'Inventory List'!$B$3:$E$47,2,0),"–")</f>
        <v>–</v>
      </c>
      <c r="D60" s="23" t="str">
        <f>IFERROR(VLOOKUP(B60,'Inventory List'!$B$3:$E$47,3,0),"–")</f>
        <v>–</v>
      </c>
      <c r="E60" s="24" t="str">
        <f>IFERROR(VLOOKUP(B60,'Inventory List'!$B$3:$E$47,4,0),"–")</f>
        <v>–</v>
      </c>
      <c r="F60" s="25"/>
      <c r="G60" s="26">
        <f>IFERROR('MONTLY Sales Report (Rev.1)'!$E60*'MONTLY Sales Report (Rev.1)'!$F60,"")</f>
      </c>
      <c r="H60" s="26"/>
      <c r="I60" s="27">
        <f>IFERROR('MONTLY Sales Report (Rev.1)'!$G60-'MONTLY Sales Report (Rev.1)'!$H60,"")</f>
      </c>
    </row>
    <row r="61" spans="2:9" x14ac:dyDescent="0.25">
      <c r="B61" s="30"/>
      <c r="C61" s="31" t="str">
        <f>IFERROR(VLOOKUP(B61,'Inventory List'!$B$3:$E$47,2,0),"–")</f>
        <v>–</v>
      </c>
      <c r="D61" s="31" t="str">
        <f>IFERROR(VLOOKUP(B61,'Inventory List'!$B$3:$E$47,3,0),"–")</f>
        <v>–</v>
      </c>
      <c r="E61" s="32" t="str">
        <f>IFERROR(VLOOKUP(B61,'Inventory List'!$B$3:$E$47,4,0),"–")</f>
        <v>–</v>
      </c>
      <c r="F61" s="33"/>
      <c r="G61" s="34">
        <f>IFERROR('MONTLY Sales Report (Rev.1)'!$E61*'MONTLY Sales Report (Rev.1)'!$F61,"")</f>
      </c>
      <c r="H61" s="34"/>
      <c r="I61" s="35">
        <f>IFERROR('MONTLY Sales Report (Rev.1)'!$G61-'MONTLY Sales Report (Rev.1)'!$H61,"")</f>
      </c>
    </row>
    <row r="62" spans="2:9" x14ac:dyDescent="0.25">
      <c r="B62" s="22"/>
      <c r="C62" s="23" t="str">
        <f>IFERROR(VLOOKUP(B62,'Inventory List'!$B$3:$E$47,2,0),"–")</f>
        <v>–</v>
      </c>
      <c r="D62" s="23" t="str">
        <f>IFERROR(VLOOKUP(B62,'Inventory List'!$B$3:$E$47,3,0),"–")</f>
        <v>–</v>
      </c>
      <c r="E62" s="24" t="str">
        <f>IFERROR(VLOOKUP(B62,'Inventory List'!$B$3:$E$47,4,0),"–")</f>
        <v>–</v>
      </c>
      <c r="F62" s="25"/>
      <c r="G62" s="26">
        <f>IFERROR('MONTLY Sales Report (Rev.1)'!$E62*'MONTLY Sales Report (Rev.1)'!$F62,"")</f>
      </c>
      <c r="H62" s="26"/>
      <c r="I62" s="27">
        <f>IFERROR('MONTLY Sales Report (Rev.1)'!$G62-'MONTLY Sales Report (Rev.1)'!$H62,"")</f>
      </c>
    </row>
    <row r="63" spans="2:9" x14ac:dyDescent="0.25">
      <c r="B63" s="30"/>
      <c r="C63" s="31" t="str">
        <f>IFERROR(VLOOKUP(B63,'Inventory List'!$B$3:$E$47,2,0),"–")</f>
        <v>–</v>
      </c>
      <c r="D63" s="31" t="str">
        <f>IFERROR(VLOOKUP(B63,'Inventory List'!$B$3:$E$47,3,0),"–")</f>
        <v>–</v>
      </c>
      <c r="E63" s="32" t="str">
        <f>IFERROR(VLOOKUP(B63,'Inventory List'!$B$3:$E$47,4,0),"–")</f>
        <v>–</v>
      </c>
      <c r="F63" s="33"/>
      <c r="G63" s="34">
        <f>IFERROR('MONTLY Sales Report (Rev.1)'!$E63*'MONTLY Sales Report (Rev.1)'!$F63,"")</f>
      </c>
      <c r="H63" s="34"/>
      <c r="I63" s="35">
        <f>IFERROR('MONTLY Sales Report (Rev.1)'!$G63-'MONTLY Sales Report (Rev.1)'!$H63,"")</f>
      </c>
    </row>
    <row r="64" spans="2:9" x14ac:dyDescent="0.25">
      <c r="B64" s="22"/>
      <c r="C64" s="23" t="str">
        <f>IFERROR(VLOOKUP(B64,'Inventory List'!$B$3:$E$47,2,0),"–")</f>
        <v>–</v>
      </c>
      <c r="D64" s="23" t="str">
        <f>IFERROR(VLOOKUP(B64,'Inventory List'!$B$3:$E$47,3,0),"–")</f>
        <v>–</v>
      </c>
      <c r="E64" s="24" t="str">
        <f>IFERROR(VLOOKUP(B64,'Inventory List'!$B$3:$E$47,4,0),"–")</f>
        <v>–</v>
      </c>
      <c r="F64" s="25"/>
      <c r="G64" s="26">
        <f>IFERROR('MONTLY Sales Report (Rev.1)'!$E64*'MONTLY Sales Report (Rev.1)'!$F64,"")</f>
      </c>
      <c r="H64" s="26"/>
      <c r="I64" s="27">
        <f>IFERROR('MONTLY Sales Report (Rev.1)'!$G64-'MONTLY Sales Report (Rev.1)'!$H64,"")</f>
      </c>
    </row>
    <row r="65" spans="2:9" x14ac:dyDescent="0.25">
      <c r="B65" s="30"/>
      <c r="C65" s="31" t="str">
        <f>IFERROR(VLOOKUP(B65,'Inventory List'!$B$3:$E$47,2,0),"–")</f>
        <v>–</v>
      </c>
      <c r="D65" s="31" t="str">
        <f>IFERROR(VLOOKUP(B65,'Inventory List'!$B$3:$E$47,3,0),"–")</f>
        <v>–</v>
      </c>
      <c r="E65" s="32" t="str">
        <f>IFERROR(VLOOKUP(B65,'Inventory List'!$B$3:$E$47,4,0),"–")</f>
        <v>–</v>
      </c>
      <c r="F65" s="33"/>
      <c r="G65" s="34">
        <f>IFERROR('MONTLY Sales Report (Rev.1)'!$E65*'MONTLY Sales Report (Rev.1)'!$F65,"")</f>
      </c>
      <c r="H65" s="34"/>
      <c r="I65" s="35">
        <f>IFERROR('MONTLY Sales Report (Rev.1)'!$G65-'MONTLY Sales Report (Rev.1)'!$H65,"")</f>
      </c>
    </row>
    <row r="66" spans="2:9" x14ac:dyDescent="0.25">
      <c r="B66" s="22"/>
      <c r="C66" s="23" t="str">
        <f>IFERROR(VLOOKUP(B66,'Inventory List'!$B$3:$E$47,2,0),"–")</f>
        <v>–</v>
      </c>
      <c r="D66" s="23" t="str">
        <f>IFERROR(VLOOKUP(B66,'Inventory List'!$B$3:$E$47,3,0),"–")</f>
        <v>–</v>
      </c>
      <c r="E66" s="24" t="str">
        <f>IFERROR(VLOOKUP(B66,'Inventory List'!$B$3:$E$47,4,0),"–")</f>
        <v>–</v>
      </c>
      <c r="F66" s="25"/>
      <c r="G66" s="26">
        <f>IFERROR('MONTLY Sales Report (Rev.1)'!$E66*'MONTLY Sales Report (Rev.1)'!$F66,"")</f>
      </c>
      <c r="H66" s="26"/>
      <c r="I66" s="27">
        <f>IFERROR('MONTLY Sales Report (Rev.1)'!$G66-'MONTLY Sales Report (Rev.1)'!$H66,"")</f>
      </c>
    </row>
    <row r="67" spans="2:9" x14ac:dyDescent="0.25">
      <c r="B67" s="30"/>
      <c r="C67" s="31" t="str">
        <f>IFERROR(VLOOKUP(B67,'Inventory List'!$B$3:$E$47,2,0),"–")</f>
        <v>–</v>
      </c>
      <c r="D67" s="31" t="str">
        <f>IFERROR(VLOOKUP(B67,'Inventory List'!$B$3:$E$47,3,0),"–")</f>
        <v>–</v>
      </c>
      <c r="E67" s="32" t="str">
        <f>IFERROR(VLOOKUP(B67,'Inventory List'!$B$3:$E$47,4,0),"–")</f>
        <v>–</v>
      </c>
      <c r="F67" s="33"/>
      <c r="G67" s="34">
        <f>IFERROR('MONTLY Sales Report (Rev.1)'!$E67*'MONTLY Sales Report (Rev.1)'!$F67,"")</f>
      </c>
      <c r="H67" s="34"/>
      <c r="I67" s="35">
        <f>IFERROR('MONTLY Sales Report (Rev.1)'!$G67-'MONTLY Sales Report (Rev.1)'!$H67,"")</f>
      </c>
    </row>
    <row r="68" spans="2:9" x14ac:dyDescent="0.25">
      <c r="B68" s="22"/>
      <c r="C68" s="23" t="str">
        <f>IFERROR(VLOOKUP(B68,'Inventory List'!$B$3:$E$47,2,0),"–")</f>
        <v>–</v>
      </c>
      <c r="D68" s="23" t="str">
        <f>IFERROR(VLOOKUP(B68,'Inventory List'!$B$3:$E$47,3,0),"–")</f>
        <v>–</v>
      </c>
      <c r="E68" s="24" t="str">
        <f>IFERROR(VLOOKUP(B68,'Inventory List'!$B$3:$E$47,4,0),"–")</f>
        <v>–</v>
      </c>
      <c r="F68" s="25"/>
      <c r="G68" s="26">
        <f>IFERROR('MONTLY Sales Report (Rev.1)'!$E68*'MONTLY Sales Report (Rev.1)'!$F68,"")</f>
      </c>
      <c r="H68" s="26"/>
      <c r="I68" s="27">
        <f>IFERROR('MONTLY Sales Report (Rev.1)'!$G68-'MONTLY Sales Report (Rev.1)'!$H68,"")</f>
      </c>
    </row>
    <row r="69" spans="2:9" x14ac:dyDescent="0.25">
      <c r="B69" s="30"/>
      <c r="C69" s="31" t="str">
        <f>IFERROR(VLOOKUP(B69,'Inventory List'!$B$3:$E$47,2,0),"–")</f>
        <v>–</v>
      </c>
      <c r="D69" s="31" t="str">
        <f>IFERROR(VLOOKUP(B69,'Inventory List'!$B$3:$E$47,3,0),"–")</f>
        <v>–</v>
      </c>
      <c r="E69" s="32" t="str">
        <f>IFERROR(VLOOKUP(B69,'Inventory List'!$B$3:$E$47,4,0),"–")</f>
        <v>–</v>
      </c>
      <c r="F69" s="33"/>
      <c r="G69" s="34">
        <f>IFERROR('MONTLY Sales Report (Rev.1)'!$E69*'MONTLY Sales Report (Rev.1)'!$F69,"")</f>
      </c>
      <c r="H69" s="34"/>
      <c r="I69" s="35">
        <f>IFERROR('MONTLY Sales Report (Rev.1)'!$G69-'MONTLY Sales Report (Rev.1)'!$H69,"")</f>
      </c>
    </row>
    <row r="70" spans="2:9" x14ac:dyDescent="0.25">
      <c r="B70" s="22"/>
      <c r="C70" s="23" t="str">
        <f>IFERROR(VLOOKUP(B70,'Inventory List'!$B$3:$E$47,2,0),"–")</f>
        <v>–</v>
      </c>
      <c r="D70" s="23" t="str">
        <f>IFERROR(VLOOKUP(B70,'Inventory List'!$B$3:$E$47,3,0),"–")</f>
        <v>–</v>
      </c>
      <c r="E70" s="24" t="str">
        <f>IFERROR(VLOOKUP(B70,'Inventory List'!$B$3:$E$47,4,0),"–")</f>
        <v>–</v>
      </c>
      <c r="F70" s="25"/>
      <c r="G70" s="26">
        <f>IFERROR('MONTLY Sales Report (Rev.1)'!$E70*'MONTLY Sales Report (Rev.1)'!$F70,"")</f>
      </c>
      <c r="H70" s="26"/>
      <c r="I70" s="27">
        <f>IFERROR('MONTLY Sales Report (Rev.1)'!$G70-'MONTLY Sales Report (Rev.1)'!$H70,"")</f>
      </c>
    </row>
    <row r="71" spans="2:9" x14ac:dyDescent="0.25">
      <c r="B71" s="30"/>
      <c r="C71" s="31" t="str">
        <f>IFERROR(VLOOKUP(B71,'Inventory List'!$B$3:$E$47,2,0),"–")</f>
        <v>–</v>
      </c>
      <c r="D71" s="31" t="str">
        <f>IFERROR(VLOOKUP(B71,'Inventory List'!$B$3:$E$47,3,0),"–")</f>
        <v>–</v>
      </c>
      <c r="E71" s="32" t="str">
        <f>IFERROR(VLOOKUP(B71,'Inventory List'!$B$3:$E$47,4,0),"–")</f>
        <v>–</v>
      </c>
      <c r="F71" s="33"/>
      <c r="G71" s="34">
        <f>IFERROR('MONTLY Sales Report (Rev.1)'!$E71*'MONTLY Sales Report (Rev.1)'!$F71,"")</f>
      </c>
      <c r="H71" s="34"/>
      <c r="I71" s="35">
        <f>IFERROR('MONTLY Sales Report (Rev.1)'!$G71-'MONTLY Sales Report (Rev.1)'!$H71,"")</f>
      </c>
    </row>
    <row r="72" spans="2:9" x14ac:dyDescent="0.25">
      <c r="B72" s="22"/>
      <c r="C72" s="23" t="str">
        <f>IFERROR(VLOOKUP(B72,'Inventory List'!$B$3:$E$47,2,0),"–")</f>
        <v>–</v>
      </c>
      <c r="D72" s="23" t="str">
        <f>IFERROR(VLOOKUP(B72,'Inventory List'!$B$3:$E$47,3,0),"–")</f>
        <v>–</v>
      </c>
      <c r="E72" s="24" t="str">
        <f>IFERROR(VLOOKUP(B72,'Inventory List'!$B$3:$E$47,4,0),"–")</f>
        <v>–</v>
      </c>
      <c r="F72" s="25"/>
      <c r="G72" s="26">
        <f>IFERROR('MONTLY Sales Report (Rev.1)'!$E72*'MONTLY Sales Report (Rev.1)'!$F72,"")</f>
      </c>
      <c r="H72" s="26"/>
      <c r="I72" s="27">
        <f>IFERROR('MONTLY Sales Report (Rev.1)'!$G72-'MONTLY Sales Report (Rev.1)'!$H72,"")</f>
      </c>
    </row>
    <row r="73" spans="2:9" x14ac:dyDescent="0.25">
      <c r="B73" s="30"/>
      <c r="C73" s="31" t="str">
        <f>IFERROR(VLOOKUP(B73,'Inventory List'!$B$3:$E$47,2,0),"–")</f>
        <v>–</v>
      </c>
      <c r="D73" s="31" t="str">
        <f>IFERROR(VLOOKUP(B73,'Inventory List'!$B$3:$E$47,3,0),"–")</f>
        <v>–</v>
      </c>
      <c r="E73" s="32" t="str">
        <f>IFERROR(VLOOKUP(B73,'Inventory List'!$B$3:$E$47,4,0),"–")</f>
        <v>–</v>
      </c>
      <c r="F73" s="33"/>
      <c r="G73" s="34">
        <f>IFERROR('MONTLY Sales Report (Rev.1)'!$E73*'MONTLY Sales Report (Rev.1)'!$F73,"")</f>
      </c>
      <c r="H73" s="34"/>
      <c r="I73" s="35">
        <f>IFERROR('MONTLY Sales Report (Rev.1)'!$G73-'MONTLY Sales Report (Rev.1)'!$H73,"")</f>
      </c>
    </row>
    <row r="74" spans="2:9" x14ac:dyDescent="0.25">
      <c r="B74" s="22"/>
      <c r="C74" s="23" t="str">
        <f>IFERROR(VLOOKUP(B74,'Inventory List'!$B$3:$E$47,2,0),"–")</f>
        <v>–</v>
      </c>
      <c r="D74" s="23" t="str">
        <f>IFERROR(VLOOKUP(B74,'Inventory List'!$B$3:$E$47,3,0),"–")</f>
        <v>–</v>
      </c>
      <c r="E74" s="24" t="str">
        <f>IFERROR(VLOOKUP(B74,'Inventory List'!$B$3:$E$47,4,0),"–")</f>
        <v>–</v>
      </c>
      <c r="F74" s="25"/>
      <c r="G74" s="26">
        <f>IFERROR('MONTLY Sales Report (Rev.1)'!$E74*'MONTLY Sales Report (Rev.1)'!$F74,"")</f>
      </c>
      <c r="H74" s="26"/>
      <c r="I74" s="27">
        <f>IFERROR('MONTLY Sales Report (Rev.1)'!$G74-'MONTLY Sales Report (Rev.1)'!$H74,"")</f>
      </c>
    </row>
    <row r="75" spans="2:9" x14ac:dyDescent="0.25">
      <c r="B75" s="30"/>
      <c r="C75" s="31" t="str">
        <f>IFERROR(VLOOKUP(B75,'Inventory List'!$B$3:$E$47,2,0),"–")</f>
        <v>–</v>
      </c>
      <c r="D75" s="31" t="str">
        <f>IFERROR(VLOOKUP(B75,'Inventory List'!$B$3:$E$47,3,0),"–")</f>
        <v>–</v>
      </c>
      <c r="E75" s="32" t="str">
        <f>IFERROR(VLOOKUP(B75,'Inventory List'!$B$3:$E$47,4,0),"–")</f>
        <v>–</v>
      </c>
      <c r="F75" s="33"/>
      <c r="G75" s="34">
        <f>IFERROR('MONTLY Sales Report (Rev.1)'!$E75*'MONTLY Sales Report (Rev.1)'!$F75,"")</f>
      </c>
      <c r="H75" s="34"/>
      <c r="I75" s="35">
        <f>IFERROR('MONTLY Sales Report (Rev.1)'!$G75-'MONTLY Sales Report (Rev.1)'!$H75,"")</f>
      </c>
    </row>
    <row r="76" spans="2:9" x14ac:dyDescent="0.25">
      <c r="B76" s="22"/>
      <c r="C76" s="23" t="str">
        <f>IFERROR(VLOOKUP(B76,'Inventory List'!$B$3:$E$47,2,0),"–")</f>
        <v>–</v>
      </c>
      <c r="D76" s="23" t="str">
        <f>IFERROR(VLOOKUP(B76,'Inventory List'!$B$3:$E$47,3,0),"–")</f>
        <v>–</v>
      </c>
      <c r="E76" s="24" t="str">
        <f>IFERROR(VLOOKUP(B76,'Inventory List'!$B$3:$E$47,4,0),"–")</f>
        <v>–</v>
      </c>
      <c r="F76" s="25"/>
      <c r="G76" s="26">
        <f>IFERROR('MONTLY Sales Report (Rev.1)'!$E76*'MONTLY Sales Report (Rev.1)'!$F76,"")</f>
      </c>
      <c r="H76" s="26"/>
      <c r="I76" s="27">
        <f>IFERROR('MONTLY Sales Report (Rev.1)'!$G76-'MONTLY Sales Report (Rev.1)'!$H76,"")</f>
      </c>
    </row>
    <row r="77" spans="2:9" x14ac:dyDescent="0.25">
      <c r="B77" s="30"/>
      <c r="C77" s="31" t="str">
        <f>IFERROR(VLOOKUP(B77,'Inventory List'!$B$3:$E$47,2,0),"–")</f>
        <v>–</v>
      </c>
      <c r="D77" s="31" t="str">
        <f>IFERROR(VLOOKUP(B77,'Inventory List'!$B$3:$E$47,3,0),"–")</f>
        <v>–</v>
      </c>
      <c r="E77" s="32" t="str">
        <f>IFERROR(VLOOKUP(B77,'Inventory List'!$B$3:$E$47,4,0),"–")</f>
        <v>–</v>
      </c>
      <c r="F77" s="33"/>
      <c r="G77" s="34">
        <f>IFERROR('MONTLY Sales Report (Rev.1)'!$E77*'MONTLY Sales Report (Rev.1)'!$F77,"")</f>
      </c>
      <c r="H77" s="34"/>
      <c r="I77" s="35">
        <f>IFERROR('MONTLY Sales Report (Rev.1)'!$G77-'MONTLY Sales Report (Rev.1)'!$H77,"")</f>
      </c>
    </row>
    <row r="78" spans="2:9" x14ac:dyDescent="0.25">
      <c r="B78" s="22"/>
      <c r="C78" s="23" t="str">
        <f>IFERROR(VLOOKUP(B78,'Inventory List'!$B$3:$E$47,2,0),"–")</f>
        <v>–</v>
      </c>
      <c r="D78" s="23" t="str">
        <f>IFERROR(VLOOKUP(B78,'Inventory List'!$B$3:$E$47,3,0),"–")</f>
        <v>–</v>
      </c>
      <c r="E78" s="24" t="str">
        <f>IFERROR(VLOOKUP(B78,'Inventory List'!$B$3:$E$47,4,0),"–")</f>
        <v>–</v>
      </c>
      <c r="F78" s="25"/>
      <c r="G78" s="26">
        <f>IFERROR('MONTLY Sales Report (Rev.1)'!$E78*'MONTLY Sales Report (Rev.1)'!$F78,"")</f>
      </c>
      <c r="H78" s="26"/>
      <c r="I78" s="27">
        <f>IFERROR('MONTLY Sales Report (Rev.1)'!$G78-'MONTLY Sales Report (Rev.1)'!$H78,"")</f>
      </c>
    </row>
    <row r="79" spans="2:9" x14ac:dyDescent="0.25">
      <c r="B79" s="30"/>
      <c r="C79" s="31" t="str">
        <f>IFERROR(VLOOKUP(B79,'Inventory List'!$B$3:$E$47,2,0),"–")</f>
        <v>–</v>
      </c>
      <c r="D79" s="31" t="str">
        <f>IFERROR(VLOOKUP(B79,'Inventory List'!$B$3:$E$47,3,0),"–")</f>
        <v>–</v>
      </c>
      <c r="E79" s="32" t="str">
        <f>IFERROR(VLOOKUP(B79,'Inventory List'!$B$3:$E$47,4,0),"–")</f>
        <v>–</v>
      </c>
      <c r="F79" s="33"/>
      <c r="G79" s="34">
        <f>IFERROR('MONTLY Sales Report (Rev.1)'!$E79*'MONTLY Sales Report (Rev.1)'!$F79,"")</f>
      </c>
      <c r="H79" s="34"/>
      <c r="I79" s="35">
        <f>IFERROR('MONTLY Sales Report (Rev.1)'!$G79-'MONTLY Sales Report (Rev.1)'!$H79,"")</f>
      </c>
    </row>
    <row r="80" spans="2:9" x14ac:dyDescent="0.25">
      <c r="B80" s="22"/>
      <c r="C80" s="23" t="str">
        <f>IFERROR(VLOOKUP(B80,'Inventory List'!$B$3:$E$47,2,0),"–")</f>
        <v>–</v>
      </c>
      <c r="D80" s="23" t="str">
        <f>IFERROR(VLOOKUP(B80,'Inventory List'!$B$3:$E$47,3,0),"–")</f>
        <v>–</v>
      </c>
      <c r="E80" s="24" t="str">
        <f>IFERROR(VLOOKUP(B80,'Inventory List'!$B$3:$E$47,4,0),"–")</f>
        <v>–</v>
      </c>
      <c r="F80" s="25"/>
      <c r="G80" s="26">
        <f>IFERROR('MONTLY Sales Report (Rev.1)'!$E80*'MONTLY Sales Report (Rev.1)'!$F80,"")</f>
      </c>
      <c r="H80" s="26"/>
      <c r="I80" s="27">
        <f>IFERROR('MONTLY Sales Report (Rev.1)'!$G80-'MONTLY Sales Report (Rev.1)'!$H80,"")</f>
      </c>
    </row>
    <row r="81" spans="2:9" x14ac:dyDescent="0.25">
      <c r="B81" s="30"/>
      <c r="C81" s="31" t="str">
        <f>IFERROR(VLOOKUP(B81,'Inventory List'!$B$3:$E$47,2,0),"–")</f>
        <v>–</v>
      </c>
      <c r="D81" s="31" t="str">
        <f>IFERROR(VLOOKUP(B81,'Inventory List'!$B$3:$E$47,3,0),"–")</f>
        <v>–</v>
      </c>
      <c r="E81" s="32" t="str">
        <f>IFERROR(VLOOKUP(B81,'Inventory List'!$B$3:$E$47,4,0),"–")</f>
        <v>–</v>
      </c>
      <c r="F81" s="33"/>
      <c r="G81" s="34">
        <f>IFERROR('MONTLY Sales Report (Rev.1)'!$E81*'MONTLY Sales Report (Rev.1)'!$F81,"")</f>
      </c>
      <c r="H81" s="34"/>
      <c r="I81" s="35">
        <f>IFERROR('MONTLY Sales Report (Rev.1)'!$G81-'MONTLY Sales Report (Rev.1)'!$H81,"")</f>
      </c>
    </row>
    <row r="82" spans="2:9" x14ac:dyDescent="0.25">
      <c r="B82" s="22"/>
      <c r="C82" s="23" t="str">
        <f>IFERROR(VLOOKUP(B82,'Inventory List'!$B$3:$E$47,2,0),"–")</f>
        <v>–</v>
      </c>
      <c r="D82" s="23" t="str">
        <f>IFERROR(VLOOKUP(B82,'Inventory List'!$B$3:$E$47,3,0),"–")</f>
        <v>–</v>
      </c>
      <c r="E82" s="24" t="str">
        <f>IFERROR(VLOOKUP(B82,'Inventory List'!$B$3:$E$47,4,0),"–")</f>
        <v>–</v>
      </c>
      <c r="F82" s="25"/>
      <c r="G82" s="26">
        <f>IFERROR('MONTLY Sales Report (Rev.1)'!$E82*'MONTLY Sales Report (Rev.1)'!$F82,"")</f>
      </c>
      <c r="H82" s="26"/>
      <c r="I82" s="27">
        <f>IFERROR('MONTLY Sales Report (Rev.1)'!$G82-'MONTLY Sales Report (Rev.1)'!$H82,"")</f>
      </c>
    </row>
    <row r="83" spans="2:9" x14ac:dyDescent="0.25">
      <c r="B83" s="30"/>
      <c r="C83" s="31" t="str">
        <f>IFERROR(VLOOKUP(B83,'Inventory List'!$B$3:$E$47,2,0),"–")</f>
        <v>–</v>
      </c>
      <c r="D83" s="31" t="str">
        <f>IFERROR(VLOOKUP(B83,'Inventory List'!$B$3:$E$47,3,0),"–")</f>
        <v>–</v>
      </c>
      <c r="E83" s="32" t="str">
        <f>IFERROR(VLOOKUP(B83,'Inventory List'!$B$3:$E$47,4,0),"–")</f>
        <v>–</v>
      </c>
      <c r="F83" s="33"/>
      <c r="G83" s="34">
        <f>IFERROR('MONTLY Sales Report (Rev.1)'!$E83*'MONTLY Sales Report (Rev.1)'!$F83,"")</f>
      </c>
      <c r="H83" s="34"/>
      <c r="I83" s="35">
        <f>IFERROR('MONTLY Sales Report (Rev.1)'!$G83-'MONTLY Sales Report (Rev.1)'!$H83,"")</f>
      </c>
    </row>
    <row r="84" spans="2:9" x14ac:dyDescent="0.25">
      <c r="B84" s="22"/>
      <c r="C84" s="23" t="str">
        <f>IFERROR(VLOOKUP(B84,'Inventory List'!$B$3:$E$47,2,0),"–")</f>
        <v>–</v>
      </c>
      <c r="D84" s="23" t="str">
        <f>IFERROR(VLOOKUP(B84,'Inventory List'!$B$3:$E$47,3,0),"–")</f>
        <v>–</v>
      </c>
      <c r="E84" s="24" t="str">
        <f>IFERROR(VLOOKUP(B84,'Inventory List'!$B$3:$E$47,4,0),"–")</f>
        <v>–</v>
      </c>
      <c r="F84" s="25"/>
      <c r="G84" s="26">
        <f>IFERROR('MONTLY Sales Report (Rev.1)'!$E84*'MONTLY Sales Report (Rev.1)'!$F84,"")</f>
      </c>
      <c r="H84" s="26"/>
      <c r="I84" s="27">
        <f>IFERROR('MONTLY Sales Report (Rev.1)'!$G84-'MONTLY Sales Report (Rev.1)'!$H84,"")</f>
      </c>
    </row>
    <row r="85" spans="2:9" x14ac:dyDescent="0.25">
      <c r="B85" s="30"/>
      <c r="C85" s="31" t="str">
        <f>IFERROR(VLOOKUP(B85,'Inventory List'!$B$3:$E$47,2,0),"–")</f>
        <v>–</v>
      </c>
      <c r="D85" s="31" t="str">
        <f>IFERROR(VLOOKUP(B85,'Inventory List'!$B$3:$E$47,3,0),"–")</f>
        <v>–</v>
      </c>
      <c r="E85" s="32" t="str">
        <f>IFERROR(VLOOKUP(B85,'Inventory List'!$B$3:$E$47,4,0),"–")</f>
        <v>–</v>
      </c>
      <c r="F85" s="33"/>
      <c r="G85" s="34">
        <f>IFERROR('MONTLY Sales Report (Rev.1)'!$E85*'MONTLY Sales Report (Rev.1)'!$F85,"")</f>
      </c>
      <c r="H85" s="34"/>
      <c r="I85" s="35">
        <f>IFERROR('MONTLY Sales Report (Rev.1)'!$G85-'MONTLY Sales Report (Rev.1)'!$H85,"")</f>
      </c>
    </row>
    <row r="86" spans="2:9" x14ac:dyDescent="0.25">
      <c r="B86" s="22"/>
      <c r="C86" s="23" t="str">
        <f>IFERROR(VLOOKUP(B86,'Inventory List'!$B$3:$E$47,2,0),"–")</f>
        <v>–</v>
      </c>
      <c r="D86" s="23" t="str">
        <f>IFERROR(VLOOKUP(B86,'Inventory List'!$B$3:$E$47,3,0),"–")</f>
        <v>–</v>
      </c>
      <c r="E86" s="24" t="str">
        <f>IFERROR(VLOOKUP(B86,'Inventory List'!$B$3:$E$47,4,0),"–")</f>
        <v>–</v>
      </c>
      <c r="F86" s="25"/>
      <c r="G86" s="26">
        <f>IFERROR('MONTLY Sales Report (Rev.1)'!$E86*'MONTLY Sales Report (Rev.1)'!$F86,"")</f>
      </c>
      <c r="H86" s="26"/>
      <c r="I86" s="27">
        <f>IFERROR('MONTLY Sales Report (Rev.1)'!$G86-'MONTLY Sales Report (Rev.1)'!$H86,"")</f>
      </c>
    </row>
    <row r="87" spans="2:9" x14ac:dyDescent="0.25">
      <c r="B87" s="30"/>
      <c r="C87" s="31" t="str">
        <f>IFERROR(VLOOKUP(B87,'Inventory List'!$B$3:$E$47,2,0),"–")</f>
        <v>–</v>
      </c>
      <c r="D87" s="31" t="str">
        <f>IFERROR(VLOOKUP(B87,'Inventory List'!$B$3:$E$47,3,0),"–")</f>
        <v>–</v>
      </c>
      <c r="E87" s="32" t="str">
        <f>IFERROR(VLOOKUP(B87,'Inventory List'!$B$3:$E$47,4,0),"–")</f>
        <v>–</v>
      </c>
      <c r="F87" s="33"/>
      <c r="G87" s="34">
        <f>IFERROR('MONTLY Sales Report (Rev.1)'!$E87*'MONTLY Sales Report (Rev.1)'!$F87,"")</f>
      </c>
      <c r="H87" s="34"/>
      <c r="I87" s="35">
        <f>IFERROR('MONTLY Sales Report (Rev.1)'!$G87-'MONTLY Sales Report (Rev.1)'!$H87,"")</f>
      </c>
    </row>
    <row r="88" spans="2:9" x14ac:dyDescent="0.25">
      <c r="B88" s="22"/>
      <c r="C88" s="23" t="str">
        <f>IFERROR(VLOOKUP(B88,'Inventory List'!$B$3:$E$47,2,0),"–")</f>
        <v>–</v>
      </c>
      <c r="D88" s="23" t="str">
        <f>IFERROR(VLOOKUP(B88,'Inventory List'!$B$3:$E$47,3,0),"–")</f>
        <v>–</v>
      </c>
      <c r="E88" s="24" t="str">
        <f>IFERROR(VLOOKUP(B88,'Inventory List'!$B$3:$E$47,4,0),"–")</f>
        <v>–</v>
      </c>
      <c r="F88" s="25"/>
      <c r="G88" s="26">
        <f>IFERROR('MONTLY Sales Report (Rev.1)'!$E88*'MONTLY Sales Report (Rev.1)'!$F88,"")</f>
      </c>
      <c r="H88" s="26"/>
      <c r="I88" s="27">
        <f>IFERROR('MONTLY Sales Report (Rev.1)'!$G88-'MONTLY Sales Report (Rev.1)'!$H88,"")</f>
      </c>
    </row>
    <row r="89" spans="2:9" x14ac:dyDescent="0.25">
      <c r="B89" s="30"/>
      <c r="C89" s="31" t="str">
        <f>IFERROR(VLOOKUP(B89,'Inventory List'!$B$3:$E$47,2,0),"–")</f>
        <v>–</v>
      </c>
      <c r="D89" s="31" t="str">
        <f>IFERROR(VLOOKUP(B89,'Inventory List'!$B$3:$E$47,3,0),"–")</f>
        <v>–</v>
      </c>
      <c r="E89" s="32" t="str">
        <f>IFERROR(VLOOKUP(B89,'Inventory List'!$B$3:$E$47,4,0),"–")</f>
        <v>–</v>
      </c>
      <c r="F89" s="33"/>
      <c r="G89" s="34">
        <f>IFERROR('MONTLY Sales Report (Rev.1)'!$E89*'MONTLY Sales Report (Rev.1)'!$F89,"")</f>
      </c>
      <c r="H89" s="34"/>
      <c r="I89" s="35">
        <f>IFERROR('MONTLY Sales Report (Rev.1)'!$G89-'MONTLY Sales Report (Rev.1)'!$H89,"")</f>
      </c>
    </row>
    <row r="90" spans="2:9" x14ac:dyDescent="0.25">
      <c r="B90" s="22"/>
      <c r="C90" s="23" t="str">
        <f>IFERROR(VLOOKUP(B90,'Inventory List'!$B$3:$E$47,2,0),"–")</f>
        <v>–</v>
      </c>
      <c r="D90" s="23" t="str">
        <f>IFERROR(VLOOKUP(B90,'Inventory List'!$B$3:$E$47,3,0),"–")</f>
        <v>–</v>
      </c>
      <c r="E90" s="24" t="str">
        <f>IFERROR(VLOOKUP(B90,'Inventory List'!$B$3:$E$47,4,0),"–")</f>
        <v>–</v>
      </c>
      <c r="F90" s="25"/>
      <c r="G90" s="26">
        <f>IFERROR('MONTLY Sales Report (Rev.1)'!$E90*'MONTLY Sales Report (Rev.1)'!$F90,"")</f>
      </c>
      <c r="H90" s="26"/>
      <c r="I90" s="27">
        <f>IFERROR('MONTLY Sales Report (Rev.1)'!$G90-'MONTLY Sales Report (Rev.1)'!$H90,"")</f>
      </c>
    </row>
    <row r="91" spans="2:9" x14ac:dyDescent="0.25">
      <c r="B91" s="30"/>
      <c r="C91" s="31" t="str">
        <f>IFERROR(VLOOKUP(B91,'Inventory List'!$B$3:$E$47,2,0),"–")</f>
        <v>–</v>
      </c>
      <c r="D91" s="31" t="str">
        <f>IFERROR(VLOOKUP(B91,'Inventory List'!$B$3:$E$47,3,0),"–")</f>
        <v>–</v>
      </c>
      <c r="E91" s="32" t="str">
        <f>IFERROR(VLOOKUP(B91,'Inventory List'!$B$3:$E$47,4,0),"–")</f>
        <v>–</v>
      </c>
      <c r="F91" s="33"/>
      <c r="G91" s="34">
        <f>IFERROR('MONTLY Sales Report (Rev.1)'!$E91*'MONTLY Sales Report (Rev.1)'!$F91,"")</f>
      </c>
      <c r="H91" s="34"/>
      <c r="I91" s="35">
        <f>IFERROR('MONTLY Sales Report (Rev.1)'!$G91-'MONTLY Sales Report (Rev.1)'!$H91,"")</f>
      </c>
    </row>
    <row r="92" spans="2:9" x14ac:dyDescent="0.25">
      <c r="B92" s="22"/>
      <c r="C92" s="23" t="str">
        <f>IFERROR(VLOOKUP(B92,'Inventory List'!$B$3:$E$47,2,0),"–")</f>
        <v>–</v>
      </c>
      <c r="D92" s="23" t="str">
        <f>IFERROR(VLOOKUP(B92,'Inventory List'!$B$3:$E$47,3,0),"–")</f>
        <v>–</v>
      </c>
      <c r="E92" s="24" t="str">
        <f>IFERROR(VLOOKUP(B92,'Inventory List'!$B$3:$E$47,4,0),"–")</f>
        <v>–</v>
      </c>
      <c r="F92" s="25"/>
      <c r="G92" s="26">
        <f>IFERROR('MONTLY Sales Report (Rev.1)'!$E92*'MONTLY Sales Report (Rev.1)'!$F92,"")</f>
      </c>
      <c r="H92" s="26"/>
      <c r="I92" s="27">
        <f>IFERROR('MONTLY Sales Report (Rev.1)'!$G92-'MONTLY Sales Report (Rev.1)'!$H92,"")</f>
      </c>
    </row>
    <row r="93" spans="2:9" x14ac:dyDescent="0.25">
      <c r="B93" s="30"/>
      <c r="C93" s="31" t="str">
        <f>IFERROR(VLOOKUP(B93,'Inventory List'!$B$3:$E$47,2,0),"–")</f>
        <v>–</v>
      </c>
      <c r="D93" s="31" t="str">
        <f>IFERROR(VLOOKUP(B93,'Inventory List'!$B$3:$E$47,3,0),"–")</f>
        <v>–</v>
      </c>
      <c r="E93" s="32" t="str">
        <f>IFERROR(VLOOKUP(B93,'Inventory List'!$B$3:$E$47,4,0),"–")</f>
        <v>–</v>
      </c>
      <c r="F93" s="33"/>
      <c r="G93" s="34">
        <f>IFERROR('MONTLY Sales Report (Rev.1)'!$E93*'MONTLY Sales Report (Rev.1)'!$F93,"")</f>
      </c>
      <c r="H93" s="34"/>
      <c r="I93" s="35">
        <f>IFERROR('MONTLY Sales Report (Rev.1)'!$G93-'MONTLY Sales Report (Rev.1)'!$H93,"")</f>
      </c>
    </row>
    <row r="94" spans="2:9" x14ac:dyDescent="0.25">
      <c r="B94" s="22"/>
      <c r="C94" s="23" t="str">
        <f>IFERROR(VLOOKUP(B94,'Inventory List'!$B$3:$E$47,2,0),"–")</f>
        <v>–</v>
      </c>
      <c r="D94" s="23" t="str">
        <f>IFERROR(VLOOKUP(B94,'Inventory List'!$B$3:$E$47,3,0),"–")</f>
        <v>–</v>
      </c>
      <c r="E94" s="24" t="str">
        <f>IFERROR(VLOOKUP(B94,'Inventory List'!$B$3:$E$47,4,0),"–")</f>
        <v>–</v>
      </c>
      <c r="F94" s="25"/>
      <c r="G94" s="26">
        <f>IFERROR('MONTLY Sales Report (Rev.1)'!$E94*'MONTLY Sales Report (Rev.1)'!$F94,"")</f>
      </c>
      <c r="H94" s="26"/>
      <c r="I94" s="27">
        <f>IFERROR('MONTLY Sales Report (Rev.1)'!$G94-'MONTLY Sales Report (Rev.1)'!$H94,"")</f>
      </c>
    </row>
    <row r="95" spans="2:9" x14ac:dyDescent="0.25">
      <c r="B95" s="30"/>
      <c r="C95" s="31" t="str">
        <f>IFERROR(VLOOKUP(B95,'Inventory List'!$B$3:$E$47,2,0),"–")</f>
        <v>–</v>
      </c>
      <c r="D95" s="31" t="str">
        <f>IFERROR(VLOOKUP(B95,'Inventory List'!$B$3:$E$47,3,0),"–")</f>
        <v>–</v>
      </c>
      <c r="E95" s="32" t="str">
        <f>IFERROR(VLOOKUP(B95,'Inventory List'!$B$3:$E$47,4,0),"–")</f>
        <v>–</v>
      </c>
      <c r="F95" s="33"/>
      <c r="G95" s="34">
        <f>IFERROR('MONTLY Sales Report (Rev.1)'!$E95*'MONTLY Sales Report (Rev.1)'!$F95,"")</f>
      </c>
      <c r="H95" s="34"/>
      <c r="I95" s="35">
        <f>IFERROR('MONTLY Sales Report (Rev.1)'!$G95-'MONTLY Sales Report (Rev.1)'!$H95,"")</f>
      </c>
    </row>
    <row r="96" spans="2:9" x14ac:dyDescent="0.25">
      <c r="B96" s="22"/>
      <c r="C96" s="23" t="str">
        <f>IFERROR(VLOOKUP(B96,'Inventory List'!$B$3:$E$47,2,0),"–")</f>
        <v>–</v>
      </c>
      <c r="D96" s="23" t="str">
        <f>IFERROR(VLOOKUP(B96,'Inventory List'!$B$3:$E$47,3,0),"–")</f>
        <v>–</v>
      </c>
      <c r="E96" s="24" t="str">
        <f>IFERROR(VLOOKUP(B96,'Inventory List'!$B$3:$E$47,4,0),"–")</f>
        <v>–</v>
      </c>
      <c r="F96" s="25"/>
      <c r="G96" s="26">
        <f>IFERROR('MONTLY Sales Report (Rev.1)'!$E96*'MONTLY Sales Report (Rev.1)'!$F96,"")</f>
      </c>
      <c r="H96" s="26"/>
      <c r="I96" s="27">
        <f>IFERROR('MONTLY Sales Report (Rev.1)'!$G96-'MONTLY Sales Report (Rev.1)'!$H96,"")</f>
      </c>
    </row>
    <row r="97" spans="2:9" x14ac:dyDescent="0.25">
      <c r="B97" s="30"/>
      <c r="C97" s="31" t="str">
        <f>IFERROR(VLOOKUP(B97,'Inventory List'!$B$3:$E$47,2,0),"–")</f>
        <v>–</v>
      </c>
      <c r="D97" s="31" t="str">
        <f>IFERROR(VLOOKUP(B97,'Inventory List'!$B$3:$E$47,3,0),"–")</f>
        <v>–</v>
      </c>
      <c r="E97" s="32" t="str">
        <f>IFERROR(VLOOKUP(B97,'Inventory List'!$B$3:$E$47,4,0),"–")</f>
        <v>–</v>
      </c>
      <c r="F97" s="33"/>
      <c r="G97" s="34">
        <f>IFERROR('MONTLY Sales Report (Rev.1)'!$E97*'MONTLY Sales Report (Rev.1)'!$F97,"")</f>
      </c>
      <c r="H97" s="34"/>
      <c r="I97" s="35">
        <f>IFERROR('MONTLY Sales Report (Rev.1)'!$G97-'MONTLY Sales Report (Rev.1)'!$H97,"")</f>
      </c>
    </row>
    <row r="98" spans="2:9" x14ac:dyDescent="0.25">
      <c r="B98" s="22"/>
      <c r="C98" s="23" t="str">
        <f>IFERROR(VLOOKUP(B98,'Inventory List'!$B$3:$E$47,2,0),"–")</f>
        <v>–</v>
      </c>
      <c r="D98" s="23" t="str">
        <f>IFERROR(VLOOKUP(B98,'Inventory List'!$B$3:$E$47,3,0),"–")</f>
        <v>–</v>
      </c>
      <c r="E98" s="24" t="str">
        <f>IFERROR(VLOOKUP(B98,'Inventory List'!$B$3:$E$47,4,0),"–")</f>
        <v>–</v>
      </c>
      <c r="F98" s="25"/>
      <c r="G98" s="26">
        <f>IFERROR('MONTLY Sales Report (Rev.1)'!$E98*'MONTLY Sales Report (Rev.1)'!$F98,"")</f>
      </c>
      <c r="H98" s="26"/>
      <c r="I98" s="27">
        <f>IFERROR('MONTLY Sales Report (Rev.1)'!$G98-'MONTLY Sales Report (Rev.1)'!$H98,"")</f>
      </c>
    </row>
    <row r="99" spans="2:9" x14ac:dyDescent="0.25">
      <c r="B99" s="30"/>
      <c r="C99" s="31" t="str">
        <f>IFERROR(VLOOKUP(B99,'Inventory List'!$B$3:$E$47,2,0),"–")</f>
        <v>–</v>
      </c>
      <c r="D99" s="31" t="str">
        <f>IFERROR(VLOOKUP(B99,'Inventory List'!$B$3:$E$47,3,0),"–")</f>
        <v>–</v>
      </c>
      <c r="E99" s="32" t="str">
        <f>IFERROR(VLOOKUP(B99,'Inventory List'!$B$3:$E$47,4,0),"–")</f>
        <v>–</v>
      </c>
      <c r="F99" s="33"/>
      <c r="G99" s="34">
        <f>IFERROR('MONTLY Sales Report (Rev.1)'!$E99*'MONTLY Sales Report (Rev.1)'!$F99,"")</f>
      </c>
      <c r="H99" s="34"/>
      <c r="I99" s="35">
        <f>IFERROR('MONTLY Sales Report (Rev.1)'!$G99-'MONTLY Sales Report (Rev.1)'!$H99,"")</f>
      </c>
    </row>
    <row r="100" spans="2:9" x14ac:dyDescent="0.25">
      <c r="B100" s="22"/>
      <c r="C100" s="23" t="str">
        <f>IFERROR(VLOOKUP(B100,'Inventory List'!$B$3:$E$47,2,0),"–")</f>
        <v>–</v>
      </c>
      <c r="D100" s="23" t="str">
        <f>IFERROR(VLOOKUP(B100,'Inventory List'!$B$3:$E$47,3,0),"–")</f>
        <v>–</v>
      </c>
      <c r="E100" s="24" t="str">
        <f>IFERROR(VLOOKUP(B100,'Inventory List'!$B$3:$E$47,4,0),"–")</f>
        <v>–</v>
      </c>
      <c r="F100" s="25"/>
      <c r="G100" s="26">
        <f>IFERROR('MONTLY Sales Report (Rev.1)'!$E100*'MONTLY Sales Report (Rev.1)'!$F100,"")</f>
      </c>
      <c r="H100" s="26"/>
      <c r="I100" s="27">
        <f>IFERROR('MONTLY Sales Report (Rev.1)'!$G100-'MONTLY Sales Report (Rev.1)'!$H100,"")</f>
      </c>
    </row>
    <row r="101" spans="2:9" x14ac:dyDescent="0.25">
      <c r="B101" s="30"/>
      <c r="C101" s="31" t="str">
        <f>IFERROR(VLOOKUP(B101,'Inventory List'!$B$3:$E$47,2,0),"–")</f>
        <v>–</v>
      </c>
      <c r="D101" s="31" t="str">
        <f>IFERROR(VLOOKUP(B101,'Inventory List'!$B$3:$E$47,3,0),"–")</f>
        <v>–</v>
      </c>
      <c r="E101" s="32" t="str">
        <f>IFERROR(VLOOKUP(B101,'Inventory List'!$B$3:$E$47,4,0),"–")</f>
        <v>–</v>
      </c>
      <c r="F101" s="33"/>
      <c r="G101" s="34">
        <f>IFERROR('MONTLY Sales Report (Rev.1)'!$E101*'MONTLY Sales Report (Rev.1)'!$F101,"")</f>
      </c>
      <c r="H101" s="34"/>
      <c r="I101" s="35">
        <f>IFERROR('MONTLY Sales Report (Rev.1)'!$G101-'MONTLY Sales Report (Rev.1)'!$H101,"")</f>
      </c>
    </row>
    <row r="102" spans="2:9" x14ac:dyDescent="0.25">
      <c r="B102" s="22"/>
      <c r="C102" s="23" t="str">
        <f>IFERROR(VLOOKUP(B102,'Inventory List'!$B$3:$E$47,2,0),"–")</f>
        <v>–</v>
      </c>
      <c r="D102" s="23" t="str">
        <f>IFERROR(VLOOKUP(B102,'Inventory List'!$B$3:$E$47,3,0),"–")</f>
        <v>–</v>
      </c>
      <c r="E102" s="24" t="str">
        <f>IFERROR(VLOOKUP(B102,'Inventory List'!$B$3:$E$47,4,0),"–")</f>
        <v>–</v>
      </c>
      <c r="F102" s="25"/>
      <c r="G102" s="26">
        <f>IFERROR('MONTLY Sales Report (Rev.1)'!$E102*'MONTLY Sales Report (Rev.1)'!$F102,"")</f>
      </c>
      <c r="H102" s="26"/>
      <c r="I102" s="27">
        <f>IFERROR('MONTLY Sales Report (Rev.1)'!$G102-'MONTLY Sales Report (Rev.1)'!$H102,"")</f>
      </c>
    </row>
    <row r="103" spans="2:9" x14ac:dyDescent="0.25">
      <c r="B103" s="30"/>
      <c r="C103" s="31" t="str">
        <f>IFERROR(VLOOKUP(B103,'Inventory List'!$B$3:$E$47,2,0),"–")</f>
        <v>–</v>
      </c>
      <c r="D103" s="31" t="str">
        <f>IFERROR(VLOOKUP(B103,'Inventory List'!$B$3:$E$47,3,0),"–")</f>
        <v>–</v>
      </c>
      <c r="E103" s="32" t="str">
        <f>IFERROR(VLOOKUP(B103,'Inventory List'!$B$3:$E$47,4,0),"–")</f>
        <v>–</v>
      </c>
      <c r="F103" s="33"/>
      <c r="G103" s="34">
        <f>IFERROR('MONTLY Sales Report (Rev.1)'!$E103*'MONTLY Sales Report (Rev.1)'!$F103,"")</f>
      </c>
      <c r="H103" s="34"/>
      <c r="I103" s="35">
        <f>IFERROR('MONTLY Sales Report (Rev.1)'!$G103-'MONTLY Sales Report (Rev.1)'!$H103,"")</f>
      </c>
    </row>
    <row r="104" spans="2:9" x14ac:dyDescent="0.25">
      <c r="B104" s="22"/>
      <c r="C104" s="23" t="str">
        <f>IFERROR(VLOOKUP(B104,'Inventory List'!$B$3:$E$47,2,0),"–")</f>
        <v>–</v>
      </c>
      <c r="D104" s="23" t="str">
        <f>IFERROR(VLOOKUP(B104,'Inventory List'!$B$3:$E$47,3,0),"–")</f>
        <v>–</v>
      </c>
      <c r="E104" s="24" t="str">
        <f>IFERROR(VLOOKUP(B104,'Inventory List'!$B$3:$E$47,4,0),"–")</f>
        <v>–</v>
      </c>
      <c r="F104" s="25"/>
      <c r="G104" s="26">
        <f>IFERROR('MONTLY Sales Report (Rev.1)'!$E104*'MONTLY Sales Report (Rev.1)'!$F104,"")</f>
      </c>
      <c r="H104" s="26"/>
      <c r="I104" s="27">
        <f>IFERROR('MONTLY Sales Report (Rev.1)'!$G104-'MONTLY Sales Report (Rev.1)'!$H104,"")</f>
      </c>
    </row>
    <row r="105" spans="2:9" x14ac:dyDescent="0.25">
      <c r="B105" s="30"/>
      <c r="C105" s="31" t="str">
        <f>IFERROR(VLOOKUP(B105,'Inventory List'!$B$3:$E$47,2,0),"–")</f>
        <v>–</v>
      </c>
      <c r="D105" s="31" t="str">
        <f>IFERROR(VLOOKUP(B105,'Inventory List'!$B$3:$E$47,3,0),"–")</f>
        <v>–</v>
      </c>
      <c r="E105" s="32" t="str">
        <f>IFERROR(VLOOKUP(B105,'Inventory List'!$B$3:$E$47,4,0),"–")</f>
        <v>–</v>
      </c>
      <c r="F105" s="33"/>
      <c r="G105" s="34">
        <f>IFERROR('MONTLY Sales Report (Rev.1)'!$E105*'MONTLY Sales Report (Rev.1)'!$F105,"")</f>
      </c>
      <c r="H105" s="34"/>
      <c r="I105" s="35">
        <f>IFERROR('MONTLY Sales Report (Rev.1)'!$G105-'MONTLY Sales Report (Rev.1)'!$H105,"")</f>
      </c>
    </row>
    <row r="106" spans="2:9" x14ac:dyDescent="0.25">
      <c r="B106" s="22"/>
      <c r="C106" s="23" t="str">
        <f>IFERROR(VLOOKUP(B106,'Inventory List'!$B$3:$E$47,2,0),"–")</f>
        <v>–</v>
      </c>
      <c r="D106" s="23" t="str">
        <f>IFERROR(VLOOKUP(B106,'Inventory List'!$B$3:$E$47,3,0),"–")</f>
        <v>–</v>
      </c>
      <c r="E106" s="24" t="str">
        <f>IFERROR(VLOOKUP(B106,'Inventory List'!$B$3:$E$47,4,0),"–")</f>
        <v>–</v>
      </c>
      <c r="F106" s="25"/>
      <c r="G106" s="26">
        <f>IFERROR('MONTLY Sales Report (Rev.1)'!$E106*'MONTLY Sales Report (Rev.1)'!$F106,"")</f>
      </c>
      <c r="H106" s="26"/>
      <c r="I106" s="27">
        <f>IFERROR('MONTLY Sales Report (Rev.1)'!$G106-'MONTLY Sales Report (Rev.1)'!$H106,"")</f>
      </c>
    </row>
    <row r="107" spans="2:9" x14ac:dyDescent="0.25">
      <c r="B107" s="36"/>
      <c r="C107" s="37" t="str">
        <f>IFERROR(VLOOKUP(B107,'Inventory List'!$B$3:$E$47,2,0),"–")</f>
        <v>–</v>
      </c>
      <c r="D107" s="37" t="str">
        <f>IFERROR(VLOOKUP(B107,'Inventory List'!$B$3:$E$47,3,0),"–")</f>
        <v>–</v>
      </c>
      <c r="E107" s="38" t="str">
        <f>IFERROR(VLOOKUP(B107,'Inventory List'!$B$3:$E$47,4,0),"–")</f>
        <v>–</v>
      </c>
      <c r="F107" s="39"/>
      <c r="G107" s="40">
        <f>IFERROR('MONTLY Sales Report (Rev.1)'!$E107*'MONTLY Sales Report (Rev.1)'!$F107,"")</f>
      </c>
      <c r="H107" s="40"/>
      <c r="I107" s="41">
        <f>IFERROR('MONTLY Sales Report (Rev.1)'!$G107-'MONTLY Sales Report (Rev.1)'!$H107,"")</f>
      </c>
    </row>
  </sheetData>
  <mergeCells count="9">
    <mergeCell ref="B1:H1"/>
    <mergeCell ref="B2:I2"/>
    <mergeCell ref="B3:C3"/>
    <mergeCell ref="D3:E3"/>
    <mergeCell ref="G3:H3"/>
    <mergeCell ref="D4:E4"/>
    <mergeCell ref="G4:H4"/>
    <mergeCell ref="D5:E5"/>
    <mergeCell ref="G5:H5"/>
  </mergeCells>
  <pageMargins left="0.4" right="0.4" top="0.4" bottom="0.4" header="0" footer="0"/>
  <pageSetup orientation="landscape" horizontalDpi="0" verticalDpi="0" scale="98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MONTLY Sales Report (Rev.1)</vt:lpstr>
      <vt:lpstr>Inventory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Jaika Banaria</cp:lastModifiedBy>
  <dcterms:created xsi:type="dcterms:W3CDTF">2016-02-25T02:48:22Z</dcterms:created>
  <dcterms:modified xsi:type="dcterms:W3CDTF">2026-08-31T05:44:39Z</dcterms:modified>
</cp:coreProperties>
</file>