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tem Catalog" sheetId="2" state="visible" r:id="rId4"/>
    <sheet name="Stock Movements" sheetId="3" state="visible" r:id="rId5"/>
    <sheet name="Buyer Summary" sheetId="4" state="visible" r:id="rId6"/>
    <sheet name="Restock Orders" sheetId="5" state="visible" r:id="rId7"/>
    <sheet name="Buyers" sheetId="6" state="visible" r:id="rId8"/>
    <sheet name="Categori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<sst xmlns="http://schemas.openxmlformats.org/spreadsheetml/2006/main" count="1840" uniqueCount="466">
  <si>
    <t xml:space="preserve">DASHBOARD</t>
  </si>
  <si>
    <t xml:space="preserve">Total catalog items</t>
  </si>
  <si>
    <t xml:space="preserve">Items — In Stock</t>
  </si>
  <si>
    <t xml:space="preserve">Items — Low</t>
  </si>
  <si>
    <t xml:space="preserve">Items — Out</t>
  </si>
  <si>
    <t xml:space="preserve">Total Qty Ordered (all-time)</t>
  </si>
  <si>
    <t xml:space="preserve">Total Qty Stock Out (all-time)</t>
  </si>
  <si>
    <t xml:space="preserve">Total Qty Balance (current stock, all items)</t>
  </si>
  <si>
    <t xml:space="preserve">Total spent on restocking to date</t>
  </si>
  <si>
    <t xml:space="preserve">Sales this period (Source = Sales Entry only)</t>
  </si>
  <si>
    <t xml:space="preserve">Note: "Sales this period" only counts Stock Movements rows tagged Source = "Sales Entry" (i.e. real, dated retail sales logged going forward by the app). It reads 0 right now because the historical import rows are tagged "Historical Import", not "Sales Entry" — no per-transaction sales history survives from the original file (see spec, item 11.2). Yearly Sales totals for past years should be computed by the app directly from its own Sales Report data, not from this workbook.</t>
  </si>
  <si>
    <t xml:space="preserve">ITEM CATALOG (single shared master list)</t>
  </si>
  <si>
    <t xml:space="preserve">Item ID</t>
  </si>
  <si>
    <t xml:space="preserve">Item Label</t>
  </si>
  <si>
    <t xml:space="preserve">Item Name</t>
  </si>
  <si>
    <t xml:space="preserve">Code</t>
  </si>
  <si>
    <t xml:space="preserve">Category</t>
  </si>
  <si>
    <t xml:space="preserve">Packing</t>
  </si>
  <si>
    <t xml:space="preserve">Batch Note</t>
  </si>
  <si>
    <t xml:space="preserve">Batch Date</t>
  </si>
  <si>
    <t xml:space="preserve">Dealer Price</t>
  </si>
  <si>
    <t xml:space="preserve">SRP</t>
  </si>
  <si>
    <t xml:space="preserve">Low Stock Threshold</t>
  </si>
  <si>
    <t xml:space="preserve">Qty Ordered</t>
  </si>
  <si>
    <t xml:space="preserve">Qty Stock Out</t>
  </si>
  <si>
    <t xml:space="preserve">Qty Balance</t>
  </si>
  <si>
    <t xml:space="preserve">Status</t>
  </si>
  <si>
    <t xml:space="preserve">Profit / Unit</t>
  </si>
  <si>
    <t xml:space="preserve">ITM-001</t>
  </si>
  <si>
    <t xml:space="preserve">5 GAL SLIM CONTAINER W/ CAP BLUE</t>
  </si>
  <si>
    <t xml:space="preserve">10-150-105</t>
  </si>
  <si>
    <t xml:space="preserve">CONTAINERS</t>
  </si>
  <si>
    <t xml:space="preserve">1 PC</t>
  </si>
  <si>
    <t xml:space="preserve">SOLD</t>
  </si>
  <si>
    <t xml:space="preserve">ITM-002</t>
  </si>
  <si>
    <t xml:space="preserve">5 GAL SLIM CONTAINER W/ CAP BLUE-WOW</t>
  </si>
  <si>
    <t xml:space="preserve">NEW BATCH</t>
  </si>
  <si>
    <t xml:space="preserve">5/15/26</t>
  </si>
  <si>
    <t xml:space="preserve">ITM-003</t>
  </si>
  <si>
    <t xml:space="preserve">5 GAL SLIM CONTAINER W/ CAP GREEN</t>
  </si>
  <si>
    <t xml:space="preserve">ITM-004</t>
  </si>
  <si>
    <t xml:space="preserve">5 GAL SLIM CONTAINER W/ CAP YELLOW</t>
  </si>
  <si>
    <t xml:space="preserve">ITM-005</t>
  </si>
  <si>
    <t xml:space="preserve">5 GAL (PET) ROUND CONTAINER BLUE W/ CAP (CLASS A)</t>
  </si>
  <si>
    <t xml:space="preserve">10-110-103</t>
  </si>
  <si>
    <t xml:space="preserve">ITM-006</t>
  </si>
  <si>
    <t xml:space="preserve">10-110-103/10-120-103</t>
  </si>
  <si>
    <t xml:space="preserve">ITM-007</t>
  </si>
  <si>
    <t xml:space="preserve">BIG CAP SEAL FOR SLIM LW</t>
  </si>
  <si>
    <t xml:space="preserve">10-100-102</t>
  </si>
  <si>
    <t xml:space="preserve">CAPSEALS</t>
  </si>
  <si>
    <t xml:space="preserve">500 PC</t>
  </si>
  <si>
    <t xml:space="preserve">ITM-008</t>
  </si>
  <si>
    <t xml:space="preserve">SMALL CAP SEAL FOR SLIM LW</t>
  </si>
  <si>
    <t xml:space="preserve">10-190-101</t>
  </si>
  <si>
    <t xml:space="preserve">1000 PC</t>
  </si>
  <si>
    <t xml:space="preserve">ITM-009</t>
  </si>
  <si>
    <t xml:space="preserve">FAUCET SEAL FOR SLIM LW</t>
  </si>
  <si>
    <t xml:space="preserve">ITM-010</t>
  </si>
  <si>
    <t xml:space="preserve">FAUCET SEAL FOR SLIM LW (CLASS B)</t>
  </si>
  <si>
    <t xml:space="preserve">ITM-011</t>
  </si>
  <si>
    <t xml:space="preserve">UMBRELLA SEAL FOR ROUND LW</t>
  </si>
  <si>
    <t xml:space="preserve">10-220-101</t>
  </si>
  <si>
    <t xml:space="preserve">ITM-012</t>
  </si>
  <si>
    <t xml:space="preserve">UMBRELLA SEAL FOR ROUND LW (CLASS B)</t>
  </si>
  <si>
    <t xml:space="preserve">ITM-013</t>
  </si>
  <si>
    <t xml:space="preserve">BIG CAP SEAL FOR SLIM GENERIC</t>
  </si>
  <si>
    <t xml:space="preserve">10-100-107</t>
  </si>
  <si>
    <t xml:space="preserve">ITM-014</t>
  </si>
  <si>
    <t xml:space="preserve">SMALL CAP SEAL FOR SLIM GENERIC</t>
  </si>
  <si>
    <t xml:space="preserve">10-190-107</t>
  </si>
  <si>
    <t xml:space="preserve">ITM-015</t>
  </si>
  <si>
    <t xml:space="preserve">FAUCET SEAL FOR SLIM GENERIC</t>
  </si>
  <si>
    <t xml:space="preserve">10-140-107</t>
  </si>
  <si>
    <t xml:space="preserve">ITM-016</t>
  </si>
  <si>
    <t xml:space="preserve">ITM-017</t>
  </si>
  <si>
    <t xml:space="preserve">UMBRELLA SEAL FOR ROUND GENERIC</t>
  </si>
  <si>
    <t xml:space="preserve">10-220-107</t>
  </si>
  <si>
    <t xml:space="preserve">ITM-018</t>
  </si>
  <si>
    <t xml:space="preserve">1 L SOAP SANITIZER</t>
  </si>
  <si>
    <t xml:space="preserve">25-120-101</t>
  </si>
  <si>
    <t xml:space="preserve">SOAP SANITIZER</t>
  </si>
  <si>
    <t xml:space="preserve">ITM-019</t>
  </si>
  <si>
    <t xml:space="preserve">SOAP SANITIZER: SOAP WOW-1LITER</t>
  </si>
  <si>
    <t xml:space="preserve">25-420-101</t>
  </si>
  <si>
    <t xml:space="preserve">ITM-020</t>
  </si>
  <si>
    <t xml:space="preserve">AUSTRALIAN SALT</t>
  </si>
  <si>
    <t xml:space="preserve">19-150-100</t>
  </si>
  <si>
    <t xml:space="preserve">SALT 50KG</t>
  </si>
  <si>
    <t xml:space="preserve">1 SACK</t>
  </si>
  <si>
    <t xml:space="preserve">ITM-021</t>
  </si>
  <si>
    <t xml:space="preserve">INDUSTRIAL SALT ART-COURSE</t>
  </si>
  <si>
    <t xml:space="preserve">ITM-022</t>
  </si>
  <si>
    <t xml:space="preserve">ITM-023</t>
  </si>
  <si>
    <t xml:space="preserve">5M SF 20SL LW ( MONTHLY (2PC) FOR PURIFIED/MINERAL )</t>
  </si>
  <si>
    <t xml:space="preserve">14-230-116</t>
  </si>
  <si>
    <t xml:space="preserve">FILTERS</t>
  </si>
  <si>
    <t xml:space="preserve">ITM-024</t>
  </si>
  <si>
    <t xml:space="preserve">SEDIMENT: LWS 20" SLIM 5-MIC</t>
  </si>
  <si>
    <t xml:space="preserve">ITM-025</t>
  </si>
  <si>
    <t xml:space="preserve">1M SF 20S LW ( QUARTERLY (2PC) FOR PURIFIED/MINERAL )</t>
  </si>
  <si>
    <t xml:space="preserve">14-230-115</t>
  </si>
  <si>
    <t xml:space="preserve">ITM-026</t>
  </si>
  <si>
    <t xml:space="preserve">SEDIMENT: LWS 20" SLIM 1-MIC</t>
  </si>
  <si>
    <t xml:space="preserve">ITM-027</t>
  </si>
  <si>
    <t xml:space="preserve">1M SF 10SL LW ( QUARTERLY (1PC) FOR ALKALINE )
(SEDIMENT: LWS 10" SLIM 1-MIC)</t>
  </si>
  <si>
    <t xml:space="preserve">14-230-114</t>
  </si>
  <si>
    <t xml:space="preserve">ITM-028</t>
  </si>
  <si>
    <t xml:space="preserve">HYDROSEP CTO 20SL ( QUARTERLY (2PC) FOR PURIFIED/MINERAL )</t>
  </si>
  <si>
    <t xml:space="preserve">14-130-103</t>
  </si>
  <si>
    <t xml:space="preserve">ITM-029</t>
  </si>
  <si>
    <t xml:space="preserve">HYDROSEP CTO 10SL ( QUARTERLY (1PC) FOR ALKALINE )</t>
  </si>
  <si>
    <t xml:space="preserve">14-130-101</t>
  </si>
  <si>
    <t xml:space="preserve">ITM-030</t>
  </si>
  <si>
    <t xml:space="preserve">CERAMIC FILTER 10SL ( QUARTERLY (1PC) FOR ALKALINE )</t>
  </si>
  <si>
    <t xml:space="preserve">14-150-100</t>
  </si>
  <si>
    <t xml:space="preserve">ITM-031</t>
  </si>
  <si>
    <t xml:space="preserve">BIO FILTER 10SL ( QUARTERLY (1PC) FOR ALKALINE )</t>
  </si>
  <si>
    <t xml:space="preserve">14-110-100</t>
  </si>
  <si>
    <t xml:space="preserve">ITM-032</t>
  </si>
  <si>
    <t xml:space="preserve">WOW 20" SLIM 5-MIC</t>
  </si>
  <si>
    <t xml:space="preserve">ITM-033</t>
  </si>
  <si>
    <t xml:space="preserve">WOW 20" SLIM 1-MIC</t>
  </si>
  <si>
    <t xml:space="preserve">ITM-034</t>
  </si>
  <si>
    <t xml:space="preserve">WOW 10" SLIM 1-MIC</t>
  </si>
  <si>
    <t xml:space="preserve">ITM-035</t>
  </si>
  <si>
    <t xml:space="preserve">UV LAMPS: UVC-PRO 6 GPM 14W</t>
  </si>
  <si>
    <t xml:space="preserve">27-130-102</t>
  </si>
  <si>
    <t xml:space="preserve">ITM-036</t>
  </si>
  <si>
    <t xml:space="preserve">350 ML PET BOTTLE (WITH CAP)</t>
  </si>
  <si>
    <t xml:space="preserve">10-170-106</t>
  </si>
  <si>
    <t xml:space="preserve">PET BOTTLE</t>
  </si>
  <si>
    <t xml:space="preserve">288 PCS</t>
  </si>
  <si>
    <t xml:space="preserve">ITM-037</t>
  </si>
  <si>
    <t xml:space="preserve">250 PCS</t>
  </si>
  <si>
    <t xml:space="preserve">ITM-038</t>
  </si>
  <si>
    <t xml:space="preserve">500 ML PET BOTTLE (WITH CAP)</t>
  </si>
  <si>
    <t xml:space="preserve">10-170-115</t>
  </si>
  <si>
    <t xml:space="preserve">220 PCS</t>
  </si>
  <si>
    <t xml:space="preserve">ITM-039</t>
  </si>
  <si>
    <t xml:space="preserve">1000 ML PET BOTTLE (WITH CAP)</t>
  </si>
  <si>
    <t xml:space="preserve">120 PCS</t>
  </si>
  <si>
    <t xml:space="preserve">ITM-040</t>
  </si>
  <si>
    <t xml:space="preserve">350 ML LABEL SHRINKABLE LW</t>
  </si>
  <si>
    <t xml:space="preserve">11-120-119</t>
  </si>
  <si>
    <t xml:space="preserve">LABELS</t>
  </si>
  <si>
    <t xml:space="preserve">500 PCS</t>
  </si>
  <si>
    <t xml:space="preserve">ITM-041</t>
  </si>
  <si>
    <t xml:space="preserve">500 ML LABEL SHRINKABLE LW</t>
  </si>
  <si>
    <t xml:space="preserve">11-120-120</t>
  </si>
  <si>
    <t xml:space="preserve">ITM-042</t>
  </si>
  <si>
    <t xml:space="preserve">1000 ML LABEL SHRINKABLE LW</t>
  </si>
  <si>
    <t xml:space="preserve">11-120-108</t>
  </si>
  <si>
    <t xml:space="preserve">ITM-043</t>
  </si>
  <si>
    <t xml:space="preserve">350 ML LABEL SHRINKABLE REFRESHING</t>
  </si>
  <si>
    <t xml:space="preserve">11-120-111</t>
  </si>
  <si>
    <t xml:space="preserve">ITM-044</t>
  </si>
  <si>
    <t xml:space="preserve">500 ML LABEL SHRINKABLE REFRESHING</t>
  </si>
  <si>
    <t xml:space="preserve">11-120-109</t>
  </si>
  <si>
    <t xml:space="preserve">ITM-045</t>
  </si>
  <si>
    <t xml:space="preserve">STICKER LW WITH PIOLO - 5 GAL 6X4</t>
  </si>
  <si>
    <t xml:space="preserve">11-130-106</t>
  </si>
  <si>
    <t xml:space="preserve">STICKER</t>
  </si>
  <si>
    <t xml:space="preserve">100 PCS</t>
  </si>
  <si>
    <t xml:space="preserve">ITM-046</t>
  </si>
  <si>
    <t xml:space="preserve">BIG CAP REPLACEMENT - 5 GAL SLIM</t>
  </si>
  <si>
    <t xml:space="preserve">10-120-109</t>
  </si>
  <si>
    <t xml:space="preserve">CAPS REPLACEMENT</t>
  </si>
  <si>
    <t xml:space="preserve">ITM-047</t>
  </si>
  <si>
    <t xml:space="preserve">SMALL CAP REPLACEMENT - 5 GAL SLIM</t>
  </si>
  <si>
    <t xml:space="preserve">10-120-111</t>
  </si>
  <si>
    <t xml:space="preserve">ITM-048</t>
  </si>
  <si>
    <t xml:space="preserve">FAUCET REPLACEMENT - 5 GAL SLIM</t>
  </si>
  <si>
    <t xml:space="preserve">10-130-101</t>
  </si>
  <si>
    <t xml:space="preserve">ITM-049</t>
  </si>
  <si>
    <t xml:space="preserve">WHITE CAP REPLACEMENT - 5 GAL SLIM</t>
  </si>
  <si>
    <t xml:space="preserve">10-120-110</t>
  </si>
  <si>
    <t xml:space="preserve">ITM-050</t>
  </si>
  <si>
    <t xml:space="preserve">CAP NON SPILL T-BACK - 5 GAL PET ROUND</t>
  </si>
  <si>
    <t xml:space="preserve">10-120-103</t>
  </si>
  <si>
    <t xml:space="preserve">ITM-051</t>
  </si>
  <si>
    <t xml:space="preserve">HOT AND COLD LIVINGWATER</t>
  </si>
  <si>
    <t xml:space="preserve">25-240-119</t>
  </si>
  <si>
    <t xml:space="preserve">DISPENSERS</t>
  </si>
  <si>
    <t xml:space="preserve">STOCK MOVEMENTS (single ledger - replaces the old manual +N chains)</t>
  </si>
  <si>
    <t xml:space="preserve">Move ID</t>
  </si>
  <si>
    <t xml:space="preserve">Date</t>
  </si>
  <si>
    <t xml:space="preserve">Direction</t>
  </si>
  <si>
    <t xml:space="preserve">Quantity</t>
  </si>
  <si>
    <t xml:space="preserve">Buyer</t>
  </si>
  <si>
    <t xml:space="preserve">Source</t>
  </si>
  <si>
    <t xml:space="preserve">Reference</t>
  </si>
  <si>
    <t xml:space="preserve">Note</t>
  </si>
  <si>
    <t xml:space="preserve">MV-0001</t>
  </si>
  <si>
    <t xml:space="preserve">2026-05-16</t>
  </si>
  <si>
    <t xml:space="preserve">In</t>
  </si>
  <si>
    <t xml:space="preserve">Historical Import</t>
  </si>
  <si>
    <t xml:space="preserve">Restock (pre-migration cumulative)</t>
  </si>
  <si>
    <t xml:space="preserve">Historical cumulative total migrated from STOCK_REPORT.xlsx snapshot</t>
  </si>
  <si>
    <t xml:space="preserve">MV-0002</t>
  </si>
  <si>
    <t xml:space="preserve">Out</t>
  </si>
  <si>
    <t xml:space="preserve">A&amp;G (LW-BAAO)</t>
  </si>
  <si>
    <t xml:space="preserve">Wholesale/retail dispatch (pre-migration cumulative)</t>
  </si>
  <si>
    <t xml:space="preserve">MV-0003</t>
  </si>
  <si>
    <t xml:space="preserve">ALKAVIVA (BAAO)</t>
  </si>
  <si>
    <t xml:space="preserve">MV-0004</t>
  </si>
  <si>
    <t xml:space="preserve">CITY WATER (LW-TAPAYAS)</t>
  </si>
  <si>
    <t xml:space="preserve">MV-0005</t>
  </si>
  <si>
    <t xml:space="preserve">PURE DROP</t>
  </si>
  <si>
    <t xml:space="preserve">MV-0006</t>
  </si>
  <si>
    <t xml:space="preserve">LW (BATO)</t>
  </si>
  <si>
    <t xml:space="preserve">MV-0007</t>
  </si>
  <si>
    <t xml:space="preserve">SARALEX</t>
  </si>
  <si>
    <t xml:space="preserve">MV-0008</t>
  </si>
  <si>
    <t xml:space="preserve">CRYSTAL REF. STATION</t>
  </si>
  <si>
    <t xml:space="preserve">MV-0009</t>
  </si>
  <si>
    <t xml:space="preserve">WATER MARKET (BAAO)</t>
  </si>
  <si>
    <t xml:space="preserve">MV-0010</t>
  </si>
  <si>
    <t xml:space="preserve">AQUARES</t>
  </si>
  <si>
    <t xml:space="preserve">MV-0011</t>
  </si>
  <si>
    <t xml:space="preserve">ALKAVIVA (BARAS)</t>
  </si>
  <si>
    <t xml:space="preserve">MV-0012</t>
  </si>
  <si>
    <t xml:space="preserve">MV-0013</t>
  </si>
  <si>
    <t xml:space="preserve">MV-0014</t>
  </si>
  <si>
    <t xml:space="preserve">MV-0015</t>
  </si>
  <si>
    <t xml:space="preserve">MV-0016</t>
  </si>
  <si>
    <t xml:space="preserve">MV-0017</t>
  </si>
  <si>
    <t xml:space="preserve">MV-0018</t>
  </si>
  <si>
    <t xml:space="preserve">MV-0019</t>
  </si>
  <si>
    <t xml:space="preserve">MV-0020</t>
  </si>
  <si>
    <t xml:space="preserve">MV-0021</t>
  </si>
  <si>
    <t xml:space="preserve">MV-0022</t>
  </si>
  <si>
    <t xml:space="preserve">MV-0023</t>
  </si>
  <si>
    <t xml:space="preserve">MV-0024</t>
  </si>
  <si>
    <t xml:space="preserve">MV-0025</t>
  </si>
  <si>
    <t xml:space="preserve">MV-0026</t>
  </si>
  <si>
    <t xml:space="preserve">MV-0027</t>
  </si>
  <si>
    <t xml:space="preserve">MV-0028</t>
  </si>
  <si>
    <t xml:space="preserve">MV-0029</t>
  </si>
  <si>
    <t xml:space="preserve">MV-0030</t>
  </si>
  <si>
    <t xml:space="preserve">MV-0031</t>
  </si>
  <si>
    <t xml:space="preserve">MV-0032</t>
  </si>
  <si>
    <t xml:space="preserve">MV-0033</t>
  </si>
  <si>
    <t xml:space="preserve">MV-0034</t>
  </si>
  <si>
    <t xml:space="preserve">MV-0035</t>
  </si>
  <si>
    <t xml:space="preserve">MV-0036</t>
  </si>
  <si>
    <t xml:space="preserve">MV-0037</t>
  </si>
  <si>
    <t xml:space="preserve">MV-0038</t>
  </si>
  <si>
    <t xml:space="preserve">MV-0039</t>
  </si>
  <si>
    <t xml:space="preserve">MV-0040</t>
  </si>
  <si>
    <t xml:space="preserve">MV-0041</t>
  </si>
  <si>
    <t xml:space="preserve">MV-0042</t>
  </si>
  <si>
    <t xml:space="preserve">MV-0043</t>
  </si>
  <si>
    <t xml:space="preserve">MV-0044</t>
  </si>
  <si>
    <t xml:space="preserve">MV-0045</t>
  </si>
  <si>
    <t xml:space="preserve">MV-0046</t>
  </si>
  <si>
    <t xml:space="preserve">MV-0047</t>
  </si>
  <si>
    <t xml:space="preserve">MV-0048</t>
  </si>
  <si>
    <t xml:space="preserve">MV-0049</t>
  </si>
  <si>
    <t xml:space="preserve">MV-0050</t>
  </si>
  <si>
    <t xml:space="preserve">MV-0051</t>
  </si>
  <si>
    <t xml:space="preserve">MV-0052</t>
  </si>
  <si>
    <t xml:space="preserve">MV-0053</t>
  </si>
  <si>
    <t xml:space="preserve">LW (SORSOGON)</t>
  </si>
  <si>
    <t xml:space="preserve">MV-0054</t>
  </si>
  <si>
    <t xml:space="preserve">MV-0055</t>
  </si>
  <si>
    <t xml:space="preserve">MV-0056</t>
  </si>
  <si>
    <t xml:space="preserve">MV-0057</t>
  </si>
  <si>
    <t xml:space="preserve">MV-0058</t>
  </si>
  <si>
    <t xml:space="preserve">MV-0059</t>
  </si>
  <si>
    <t xml:space="preserve">MV-0060</t>
  </si>
  <si>
    <t xml:space="preserve">MV-0061</t>
  </si>
  <si>
    <t xml:space="preserve">MV-0062</t>
  </si>
  <si>
    <t xml:space="preserve">LANON W.R.S.</t>
  </si>
  <si>
    <t xml:space="preserve">MV-0063</t>
  </si>
  <si>
    <t xml:space="preserve">MV-0064</t>
  </si>
  <si>
    <t xml:space="preserve">MV-0065</t>
  </si>
  <si>
    <t xml:space="preserve">MV-0066</t>
  </si>
  <si>
    <t xml:space="preserve">MV-0067</t>
  </si>
  <si>
    <t xml:space="preserve">MV-0068</t>
  </si>
  <si>
    <t xml:space="preserve">MV-0069</t>
  </si>
  <si>
    <t xml:space="preserve">MV-0070</t>
  </si>
  <si>
    <t xml:space="preserve">MV-0071</t>
  </si>
  <si>
    <t xml:space="preserve">MV-0072</t>
  </si>
  <si>
    <t xml:space="preserve">MV-0073</t>
  </si>
  <si>
    <t xml:space="preserve">MV-0074</t>
  </si>
  <si>
    <t xml:space="preserve">W.L.D. REF. STN (BATO)</t>
  </si>
  <si>
    <t xml:space="preserve">MV-0075</t>
  </si>
  <si>
    <t xml:space="preserve">MV-0076</t>
  </si>
  <si>
    <t xml:space="preserve">SHAUNTI REF. STN.</t>
  </si>
  <si>
    <t xml:space="preserve">MV-0077</t>
  </si>
  <si>
    <t xml:space="preserve">MV-0078</t>
  </si>
  <si>
    <t xml:space="preserve">MV-0079</t>
  </si>
  <si>
    <t xml:space="preserve">MV-0080</t>
  </si>
  <si>
    <t xml:space="preserve">MV-0081</t>
  </si>
  <si>
    <t xml:space="preserve">MV-0082</t>
  </si>
  <si>
    <t xml:space="preserve">MV-0083</t>
  </si>
  <si>
    <t xml:space="preserve">MV-0084</t>
  </si>
  <si>
    <t xml:space="preserve">MV-0085</t>
  </si>
  <si>
    <t xml:space="preserve">MV-0086</t>
  </si>
  <si>
    <t xml:space="preserve">MV-0087</t>
  </si>
  <si>
    <t xml:space="preserve">MV-0088</t>
  </si>
  <si>
    <t xml:space="preserve">MV-0089</t>
  </si>
  <si>
    <t xml:space="preserve">MV-0090</t>
  </si>
  <si>
    <t xml:space="preserve">MV-0091</t>
  </si>
  <si>
    <t xml:space="preserve">MV-0092</t>
  </si>
  <si>
    <t xml:space="preserve">MV-0093</t>
  </si>
  <si>
    <t xml:space="preserve">MV-0094</t>
  </si>
  <si>
    <t xml:space="preserve">MV-0095</t>
  </si>
  <si>
    <t xml:space="preserve">MV-0096</t>
  </si>
  <si>
    <t xml:space="preserve">MV-0097</t>
  </si>
  <si>
    <t xml:space="preserve">MV-0098</t>
  </si>
  <si>
    <t xml:space="preserve">MV-0099</t>
  </si>
  <si>
    <t xml:space="preserve">MV-0100</t>
  </si>
  <si>
    <t xml:space="preserve">MV-0101</t>
  </si>
  <si>
    <t xml:space="preserve">MV-0102</t>
  </si>
  <si>
    <t xml:space="preserve">MV-0103</t>
  </si>
  <si>
    <t xml:space="preserve">MV-0104</t>
  </si>
  <si>
    <t xml:space="preserve">MV-0105</t>
  </si>
  <si>
    <t xml:space="preserve">MV-0106</t>
  </si>
  <si>
    <t xml:space="preserve">MV-0107</t>
  </si>
  <si>
    <t xml:space="preserve">MV-0108</t>
  </si>
  <si>
    <t xml:space="preserve">MV-0109</t>
  </si>
  <si>
    <t xml:space="preserve">MV-0110</t>
  </si>
  <si>
    <t xml:space="preserve">MV-0111</t>
  </si>
  <si>
    <t xml:space="preserve">MV-0112</t>
  </si>
  <si>
    <t xml:space="preserve">MV-0113</t>
  </si>
  <si>
    <t xml:space="preserve">MV-0114</t>
  </si>
  <si>
    <t xml:space="preserve">MV-0115</t>
  </si>
  <si>
    <t xml:space="preserve">MV-0116</t>
  </si>
  <si>
    <t xml:space="preserve">MV-0117</t>
  </si>
  <si>
    <t xml:space="preserve">MV-0118</t>
  </si>
  <si>
    <t xml:space="preserve">MV-0119</t>
  </si>
  <si>
    <t xml:space="preserve">MV-0120</t>
  </si>
  <si>
    <t xml:space="preserve">MV-0121</t>
  </si>
  <si>
    <t xml:space="preserve">MV-0122</t>
  </si>
  <si>
    <t xml:space="preserve">MV-0123</t>
  </si>
  <si>
    <t xml:space="preserve">MV-0124</t>
  </si>
  <si>
    <t xml:space="preserve">MV-0125</t>
  </si>
  <si>
    <t xml:space="preserve">MV-0126</t>
  </si>
  <si>
    <t xml:space="preserve">MV-0127</t>
  </si>
  <si>
    <t xml:space="preserve">MV-0128</t>
  </si>
  <si>
    <t xml:space="preserve">MV-0129</t>
  </si>
  <si>
    <t xml:space="preserve">MV-0130</t>
  </si>
  <si>
    <t xml:space="preserve">MV-0131</t>
  </si>
  <si>
    <t xml:space="preserve">MV-0132</t>
  </si>
  <si>
    <t xml:space="preserve">MV-0133</t>
  </si>
  <si>
    <t xml:space="preserve">MV-0134</t>
  </si>
  <si>
    <t xml:space="preserve">MV-0135</t>
  </si>
  <si>
    <t xml:space="preserve">MV-0136</t>
  </si>
  <si>
    <t xml:space="preserve">MV-0137</t>
  </si>
  <si>
    <t xml:space="preserve">MV-0138</t>
  </si>
  <si>
    <t xml:space="preserve">MV-0139</t>
  </si>
  <si>
    <t xml:space="preserve">MV-0140</t>
  </si>
  <si>
    <t xml:space="preserve">MV-0141</t>
  </si>
  <si>
    <t xml:space="preserve">MV-0142</t>
  </si>
  <si>
    <t xml:space="preserve">MV-0143</t>
  </si>
  <si>
    <t xml:space="preserve">MV-0144</t>
  </si>
  <si>
    <t xml:space="preserve">MV-0145</t>
  </si>
  <si>
    <t xml:space="preserve">MV-0146</t>
  </si>
  <si>
    <t xml:space="preserve">MV-0147</t>
  </si>
  <si>
    <t xml:space="preserve">OTHERS (CUSTOMER)</t>
  </si>
  <si>
    <t xml:space="preserve">MV-0148</t>
  </si>
  <si>
    <t xml:space="preserve">MV-0149</t>
  </si>
  <si>
    <t xml:space="preserve">MV-0150</t>
  </si>
  <si>
    <t xml:space="preserve">MV-0151</t>
  </si>
  <si>
    <t xml:space="preserve">MV-0152</t>
  </si>
  <si>
    <t xml:space="preserve">MV-0153</t>
  </si>
  <si>
    <t xml:space="preserve">MV-0154</t>
  </si>
  <si>
    <t xml:space="preserve">MV-0155</t>
  </si>
  <si>
    <t xml:space="preserve">MV-0156</t>
  </si>
  <si>
    <t xml:space="preserve">MV-0157</t>
  </si>
  <si>
    <t xml:space="preserve">MV-0158</t>
  </si>
  <si>
    <t xml:space="preserve">MV-0159</t>
  </si>
  <si>
    <t xml:space="preserve">MV-0160</t>
  </si>
  <si>
    <t xml:space="preserve">MV-0161</t>
  </si>
  <si>
    <t xml:space="preserve">MV-0162</t>
  </si>
  <si>
    <t xml:space="preserve">MV-0163</t>
  </si>
  <si>
    <t xml:space="preserve">MV-0164</t>
  </si>
  <si>
    <t xml:space="preserve">MV-0165</t>
  </si>
  <si>
    <t xml:space="preserve">MV-0166</t>
  </si>
  <si>
    <t xml:space="preserve">MV-0167</t>
  </si>
  <si>
    <t xml:space="preserve">MV-0168</t>
  </si>
  <si>
    <t xml:space="preserve">MV-0169</t>
  </si>
  <si>
    <t xml:space="preserve">MV-0170</t>
  </si>
  <si>
    <t xml:space="preserve">MV-0171</t>
  </si>
  <si>
    <t xml:space="preserve">MV-0172</t>
  </si>
  <si>
    <t xml:space="preserve">MV-0173</t>
  </si>
  <si>
    <t xml:space="preserve">MV-0174</t>
  </si>
  <si>
    <t xml:space="preserve">MV-0175</t>
  </si>
  <si>
    <t xml:space="preserve">MV-0176</t>
  </si>
  <si>
    <t xml:space="preserve">MV-0177</t>
  </si>
  <si>
    <t xml:space="preserve">MV-0178</t>
  </si>
  <si>
    <t xml:space="preserve">MV-0179</t>
  </si>
  <si>
    <t xml:space="preserve">MV-0180</t>
  </si>
  <si>
    <t xml:space="preserve">MV-0181</t>
  </si>
  <si>
    <t xml:space="preserve">MV-0182</t>
  </si>
  <si>
    <t xml:space="preserve">MV-0183</t>
  </si>
  <si>
    <t xml:space="preserve">MV-0184</t>
  </si>
  <si>
    <t xml:space="preserve">MV-0185</t>
  </si>
  <si>
    <t xml:space="preserve">MV-0186</t>
  </si>
  <si>
    <t xml:space="preserve">MV-0187</t>
  </si>
  <si>
    <t xml:space="preserve">MV-0188</t>
  </si>
  <si>
    <t xml:space="preserve">MV-0189</t>
  </si>
  <si>
    <t xml:space="preserve">MV-0190</t>
  </si>
  <si>
    <t xml:space="preserve">MV-0191</t>
  </si>
  <si>
    <t xml:space="preserve">MV-0192</t>
  </si>
  <si>
    <t xml:space="preserve">MV-0193</t>
  </si>
  <si>
    <t xml:space="preserve">MV-0194</t>
  </si>
  <si>
    <t xml:space="preserve">MV-0195</t>
  </si>
  <si>
    <t xml:space="preserve">MV-0196</t>
  </si>
  <si>
    <t xml:space="preserve">MV-0197</t>
  </si>
  <si>
    <t xml:space="preserve">MV-0198</t>
  </si>
  <si>
    <t xml:space="preserve">MV-0199</t>
  </si>
  <si>
    <t xml:space="preserve">MV-0200</t>
  </si>
  <si>
    <t xml:space="preserve">MV-0201</t>
  </si>
  <si>
    <t xml:space="preserve">MV-0202</t>
  </si>
  <si>
    <t xml:space="preserve">MV-0203</t>
  </si>
  <si>
    <t xml:space="preserve">MV-0204</t>
  </si>
  <si>
    <t xml:space="preserve">MV-0205</t>
  </si>
  <si>
    <t xml:space="preserve">MV-0206</t>
  </si>
  <si>
    <t xml:space="preserve">MV-0207</t>
  </si>
  <si>
    <t xml:space="preserve">MV-0208</t>
  </si>
  <si>
    <t xml:space="preserve">MV-0209</t>
  </si>
  <si>
    <t xml:space="preserve">MV-0210</t>
  </si>
  <si>
    <t xml:space="preserve">MV-0211</t>
  </si>
  <si>
    <t xml:space="preserve">MV-0212</t>
  </si>
  <si>
    <t xml:space="preserve">MV-0213</t>
  </si>
  <si>
    <t xml:space="preserve">MV-0214</t>
  </si>
  <si>
    <t xml:space="preserve">BUYER SUMMARY (auto-computed pivot - do not type into buyer columns)</t>
  </si>
  <si>
    <t xml:space="preserve">CRISPY KING</t>
  </si>
  <si>
    <t xml:space="preserve">Row Total</t>
  </si>
  <si>
    <t xml:space="preserve">Check vs Qty Stock Out</t>
  </si>
  <si>
    <t xml:space="preserve">RESTOCK ORDERS (purchase order log)</t>
  </si>
  <si>
    <t xml:space="preserve">SO Number</t>
  </si>
  <si>
    <t xml:space="preserve">Order Date</t>
  </si>
  <si>
    <t xml:space="preserve">Received Date</t>
  </si>
  <si>
    <t xml:space="preserve">Amount</t>
  </si>
  <si>
    <t xml:space="preserve">Trucking Fee</t>
  </si>
  <si>
    <t xml:space="preserve">Order Total</t>
  </si>
  <si>
    <t xml:space="preserve">SO111897</t>
  </si>
  <si>
    <t xml:space="preserve">2023-10-13</t>
  </si>
  <si>
    <t xml:space="preserve">2023-11-05</t>
  </si>
  <si>
    <t xml:space="preserve">Initial capital order 1 of 3</t>
  </si>
  <si>
    <t xml:space="preserve">SO112258</t>
  </si>
  <si>
    <t xml:space="preserve">2023-10-23</t>
  </si>
  <si>
    <t xml:space="preserve">Initial capital order 2 of 3</t>
  </si>
  <si>
    <t xml:space="preserve">SO112635</t>
  </si>
  <si>
    <t xml:space="preserve">2023-11-03</t>
  </si>
  <si>
    <t xml:space="preserve">Trucking for initial capital order 3 of 3</t>
  </si>
  <si>
    <t xml:space="preserve">SO124878</t>
  </si>
  <si>
    <t xml:space="preserve">2024-09-30</t>
  </si>
  <si>
    <t xml:space="preserve">2024-10-03</t>
  </si>
  <si>
    <t xml:space="preserve">Lalamove trucking for SO124878</t>
  </si>
  <si>
    <t xml:space="preserve">SO136446</t>
  </si>
  <si>
    <t xml:space="preserve">2025-10-07</t>
  </si>
  <si>
    <t xml:space="preserve">2025-10-15</t>
  </si>
  <si>
    <t xml:space="preserve">Lalamove trucking for SO136446</t>
  </si>
  <si>
    <t xml:space="preserve">SO141459</t>
  </si>
  <si>
    <t xml:space="preserve">2026-05-15</t>
  </si>
  <si>
    <t xml:space="preserve">Lalamove trucking for SO141459</t>
  </si>
  <si>
    <t xml:space="preserve">TOTAL SPENT TO DATE</t>
  </si>
  <si>
    <t xml:space="preserve">BUYERS (reference list)</t>
  </si>
  <si>
    <t xml:space="preserve">Buyer Name</t>
  </si>
  <si>
    <t xml:space="preserve">Is Own Shop</t>
  </si>
  <si>
    <t xml:space="preserve">CATEGORIES (reference list)</t>
  </si>
</sst>
</file>

<file path=xl/styles.xml><?xml version="1.0" encoding="utf-8"?>
<styleSheet xmlns="http://schemas.openxmlformats.org/spreadsheetml/2006/main">
  <numFmts count="4">
    <numFmt numFmtId="164" formatCode="General"/>
    <numFmt numFmtId="165" formatCode="#,##0.00"/>
    <numFmt numFmtId="166" formatCode="#,##0"/>
    <numFmt numFmtId="167"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0"/>
      <color rgb="FF000000"/>
      <name val="Calibri"/>
      <family val="0"/>
      <charset val="1"/>
    </font>
    <font>
      <b val="true"/>
      <sz val="12"/>
      <name val="Cambria"/>
      <family val="0"/>
      <charset val="1"/>
    </font>
    <font>
      <i val="true"/>
      <sz val="9"/>
      <color rgb="FF595959"/>
      <name val="Cambria"/>
      <family val="0"/>
      <charset val="1"/>
    </font>
    <font>
      <b val="true"/>
      <sz val="11"/>
      <name val="Cambria"/>
      <family val="0"/>
      <charset val="1"/>
    </font>
  </fonts>
  <fills count="5">
    <fill>
      <patternFill patternType="none"/>
    </fill>
    <fill>
      <patternFill patternType="gray125"/>
    </fill>
    <fill>
      <patternFill patternType="solid">
        <fgColor rgb="FF44546A"/>
        <bgColor rgb="FF595959"/>
      </patternFill>
    </fill>
    <fill>
      <patternFill patternType="solid">
        <fgColor rgb="FFD6DCE5"/>
        <bgColor rgb="FFC6E0B4"/>
      </patternFill>
    </fill>
    <fill>
      <patternFill patternType="solid">
        <fgColor rgb="FFF2F2F2"/>
        <bgColor rgb="FFFFFFFF"/>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true" indent="0" shrinkToFit="false"/>
      <protection locked="true" hidden="false"/>
    </xf>
    <xf numFmtId="167" fontId="0" fillId="0" borderId="2"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7" fontId="0" fillId="0" borderId="2"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FD966"/>
        </patternFill>
      </fill>
    </dxf>
    <dxf>
      <fill>
        <patternFill>
          <bgColor rgb="FFB4C7E7"/>
        </patternFill>
      </fill>
    </dxf>
    <dxf>
      <fill>
        <patternFill>
          <bgColor rgb="FFC6E0B4"/>
        </patternFill>
      </fill>
    </dxf>
    <dxf>
      <fill>
        <patternFill>
          <bgColor rgb="FFFFE699"/>
        </patternFill>
      </fill>
    </dxf>
    <dxf>
      <fill>
        <patternFill>
          <bgColor rgb="FFF8CBAD"/>
        </patternFill>
      </fill>
    </dxf>
    <dxf>
      <font>
        <b val="1"/>
        <color rgb="FFFF000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6DCE5"/>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D966"/>
      <rgbColor rgb="FFFF9900"/>
      <rgbColor rgb="FFFF6600"/>
      <rgbColor rgb="FF595959"/>
      <rgbColor rgb="FF969696"/>
      <rgbColor rgb="FF003366"/>
      <rgbColor rgb="FF339966"/>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s>
  <sheetData>
    <row r="1" customFormat="false" ht="25.5" hidden="false" customHeight="true" outlineLevel="0" collapsed="false">
      <c r="A1" s="1" t="s">
        <v>0</v>
      </c>
      <c r="B1" s="1"/>
      <c r="C1" s="1"/>
      <c r="D1" s="1"/>
    </row>
    <row r="3" customFormat="false" ht="15" hidden="false" customHeight="false" outlineLevel="0" collapsed="false">
      <c r="A3" s="2" t="s">
        <v>1</v>
      </c>
      <c r="B3" s="2"/>
      <c r="C3" s="3" t="n">
        <f aca="false">COUNTA('Item Catalog'!$A$3:$A$1000)</f>
        <v>51</v>
      </c>
    </row>
    <row r="4" customFormat="false" ht="15" hidden="false" customHeight="false" outlineLevel="0" collapsed="false">
      <c r="A4" s="2" t="s">
        <v>2</v>
      </c>
      <c r="B4" s="2"/>
      <c r="C4" s="3" t="n">
        <f aca="false">COUNTIF('Item Catalog'!$O$3:$O$1000,"In Stock")</f>
        <v>46</v>
      </c>
    </row>
    <row r="5" customFormat="false" ht="15" hidden="false" customHeight="false" outlineLevel="0" collapsed="false">
      <c r="A5" s="2" t="s">
        <v>3</v>
      </c>
      <c r="B5" s="2"/>
      <c r="C5" s="3" t="n">
        <f aca="false">COUNTIF('Item Catalog'!$O$3:$O$1000,"Low")</f>
        <v>0</v>
      </c>
    </row>
    <row r="6" customFormat="false" ht="15" hidden="false" customHeight="false" outlineLevel="0" collapsed="false">
      <c r="A6" s="2" t="s">
        <v>4</v>
      </c>
      <c r="B6" s="2"/>
      <c r="C6" s="3" t="n">
        <f aca="false">COUNTIF('Item Catalog'!$O$3:$O$1000,"Out")</f>
        <v>5</v>
      </c>
    </row>
    <row r="8" customFormat="false" ht="15" hidden="false" customHeight="false" outlineLevel="0" collapsed="false">
      <c r="A8" s="2" t="s">
        <v>5</v>
      </c>
      <c r="B8" s="2"/>
      <c r="C8" s="3" t="n">
        <f aca="false">SUM('Item Catalog'!$L$3:$L$1000)</f>
        <v>6771</v>
      </c>
    </row>
    <row r="9" customFormat="false" ht="15" hidden="false" customHeight="false" outlineLevel="0" collapsed="false">
      <c r="A9" s="2" t="s">
        <v>6</v>
      </c>
      <c r="B9" s="2"/>
      <c r="C9" s="3" t="n">
        <f aca="false">SUM('Item Catalog'!$M$3:$M$1000)</f>
        <v>2606</v>
      </c>
    </row>
    <row r="10" customFormat="false" ht="15" hidden="false" customHeight="false" outlineLevel="0" collapsed="false">
      <c r="A10" s="2" t="s">
        <v>7</v>
      </c>
      <c r="B10" s="2"/>
      <c r="C10" s="3" t="n">
        <f aca="false">SUM('Item Catalog'!$N$3:$N$1000)</f>
        <v>4165</v>
      </c>
    </row>
    <row r="12" customFormat="false" ht="15" hidden="false" customHeight="false" outlineLevel="0" collapsed="false">
      <c r="A12" s="2" t="s">
        <v>8</v>
      </c>
      <c r="B12" s="2"/>
      <c r="C12" s="3" t="n">
        <f aca="false">'Restock Orders'!$F$13</f>
        <v>522564</v>
      </c>
    </row>
    <row r="14" customFormat="false" ht="15" hidden="false" customHeight="false" outlineLevel="0" collapsed="false">
      <c r="A14" s="2" t="s">
        <v>9</v>
      </c>
      <c r="B14" s="2"/>
      <c r="C14" s="3" t="n">
        <f aca="false">SUMPRODUCT(('Stock Movements'!$G$3:$G$1000="Sales Entry")*('Stock Movements'!$D$3:$D$1000="Out")*('Stock Movements'!$E$3:$E$1000))</f>
        <v>0</v>
      </c>
    </row>
    <row r="16" customFormat="false" ht="15" hidden="false" customHeight="true" outlineLevel="0" collapsed="false">
      <c r="A16" s="4" t="s">
        <v>10</v>
      </c>
      <c r="B16" s="4"/>
      <c r="C16" s="4"/>
      <c r="D16" s="4"/>
      <c r="E16" s="4"/>
      <c r="F16" s="4"/>
    </row>
    <row r="17" customFormat="false" ht="15" hidden="false" customHeight="false" outlineLevel="0" collapsed="false">
      <c r="A17" s="4"/>
      <c r="B17" s="4"/>
      <c r="C17" s="4"/>
      <c r="D17" s="4"/>
      <c r="E17" s="4"/>
      <c r="F17" s="4"/>
    </row>
    <row r="18" customFormat="false" ht="15" hidden="false" customHeight="false" outlineLevel="0" collapsed="false">
      <c r="A18" s="4"/>
      <c r="B18" s="4"/>
      <c r="C18" s="4"/>
      <c r="D18" s="4"/>
      <c r="E18" s="4"/>
      <c r="F18" s="4"/>
    </row>
    <row r="19" customFormat="false" ht="15" hidden="false" customHeight="false" outlineLevel="0" collapsed="false">
      <c r="A19" s="4"/>
      <c r="B19" s="4"/>
      <c r="C19" s="4"/>
      <c r="D19" s="4"/>
      <c r="E19" s="4"/>
      <c r="F19" s="4"/>
    </row>
  </sheetData>
  <mergeCells count="11">
    <mergeCell ref="A1:D1"/>
    <mergeCell ref="A3:B3"/>
    <mergeCell ref="A4:B4"/>
    <mergeCell ref="A5:B5"/>
    <mergeCell ref="A6:B6"/>
    <mergeCell ref="A8:B8"/>
    <mergeCell ref="A9:B9"/>
    <mergeCell ref="A10:B10"/>
    <mergeCell ref="A12:B12"/>
    <mergeCell ref="A14:B14"/>
    <mergeCell ref="A16: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34"/>
    <col collapsed="false" customWidth="true" hidden="false" outlineLevel="0" max="4" min="4" style="0" width="13"/>
    <col collapsed="false" customWidth="true" hidden="false" outlineLevel="0" max="5" min="5" style="0" width="15"/>
    <col collapsed="false" customWidth="true" hidden="false" outlineLevel="0" max="6" min="6" style="0" width="10"/>
    <col collapsed="false" customWidth="true" hidden="false" outlineLevel="0" max="8" min="7" style="0" width="11"/>
    <col collapsed="false" customWidth="true" hidden="false" outlineLevel="0" max="9" min="9" style="0" width="10"/>
    <col collapsed="false" customWidth="true" hidden="false" outlineLevel="0" max="10" min="10" style="0" width="9"/>
    <col collapsed="false" customWidth="true" hidden="false" outlineLevel="0" max="16" min="11" style="0" width="10"/>
  </cols>
  <sheetData>
    <row r="1" customFormat="false" ht="25.5" hidden="false" customHeight="true" outlineLevel="0" collapsed="false">
      <c r="A1" s="1" t="s">
        <v>11</v>
      </c>
      <c r="B1" s="1"/>
      <c r="C1" s="1"/>
      <c r="D1" s="1"/>
      <c r="E1" s="1"/>
      <c r="F1" s="1"/>
      <c r="G1" s="1"/>
      <c r="H1" s="1"/>
      <c r="I1" s="1"/>
      <c r="J1" s="1"/>
      <c r="K1" s="1"/>
      <c r="L1" s="1"/>
      <c r="M1" s="1"/>
      <c r="N1" s="1"/>
      <c r="O1" s="1"/>
      <c r="P1" s="1"/>
    </row>
    <row r="2" customFormat="false" ht="31.5" hidden="false" customHeight="true" outlineLevel="0" collapsed="false">
      <c r="A2" s="5" t="s">
        <v>12</v>
      </c>
      <c r="B2" s="5" t="s">
        <v>13</v>
      </c>
      <c r="C2" s="5" t="s">
        <v>14</v>
      </c>
      <c r="D2" s="5" t="s">
        <v>15</v>
      </c>
      <c r="E2" s="5" t="s">
        <v>16</v>
      </c>
      <c r="F2" s="5" t="s">
        <v>17</v>
      </c>
      <c r="G2" s="5" t="s">
        <v>18</v>
      </c>
      <c r="H2" s="5" t="s">
        <v>19</v>
      </c>
      <c r="I2" s="5" t="s">
        <v>20</v>
      </c>
      <c r="J2" s="5" t="s">
        <v>21</v>
      </c>
      <c r="K2" s="5" t="s">
        <v>22</v>
      </c>
      <c r="L2" s="5" t="s">
        <v>23</v>
      </c>
      <c r="M2" s="5" t="s">
        <v>24</v>
      </c>
      <c r="N2" s="5" t="s">
        <v>25</v>
      </c>
      <c r="O2" s="5" t="s">
        <v>26</v>
      </c>
      <c r="P2" s="5" t="s">
        <v>27</v>
      </c>
    </row>
    <row r="3" customFormat="false" ht="15" hidden="false" customHeight="false" outlineLevel="0" collapsed="false">
      <c r="A3" s="6" t="s">
        <v>28</v>
      </c>
      <c r="B3" s="6" t="str">
        <f aca="false">A3&amp;" · "&amp;C3</f>
        <v>ITM-001 · 5 GAL SLIM CONTAINER W/ CAP BLUE</v>
      </c>
      <c r="C3" s="6" t="s">
        <v>29</v>
      </c>
      <c r="D3" s="6" t="s">
        <v>30</v>
      </c>
      <c r="E3" s="6" t="s">
        <v>31</v>
      </c>
      <c r="F3" s="6" t="s">
        <v>32</v>
      </c>
      <c r="G3" s="6" t="s">
        <v>33</v>
      </c>
      <c r="H3" s="6"/>
      <c r="I3" s="7" t="n">
        <v>105</v>
      </c>
      <c r="J3" s="7" t="n">
        <v>135</v>
      </c>
      <c r="K3" s="8"/>
      <c r="L3" s="8" t="n">
        <f aca="false">SUMIFS('Stock Movements'!$E:$E,'Stock Movements'!$C:$C,$B3,'Stock Movements'!$D:$D,"In")</f>
        <v>526</v>
      </c>
      <c r="M3" s="8" t="n">
        <f aca="false">SUMIFS('Stock Movements'!$E:$E,'Stock Movements'!$C:$C,$B3,'Stock Movements'!$D:$D,"Out")</f>
        <v>526</v>
      </c>
      <c r="N3" s="8" t="n">
        <f aca="false">L3-M3</f>
        <v>0</v>
      </c>
      <c r="O3" s="9" t="str">
        <f aca="false">IF(N3&lt;=0,"Out",IF(AND(K3&lt;&gt;"",N3&lt;=K3),"Low","In Stock"))</f>
        <v>Out</v>
      </c>
      <c r="P3" s="7" t="n">
        <f aca="false">J3-I3</f>
        <v>30</v>
      </c>
    </row>
    <row r="4" customFormat="false" ht="15" hidden="false" customHeight="false" outlineLevel="0" collapsed="false">
      <c r="A4" s="6" t="s">
        <v>34</v>
      </c>
      <c r="B4" s="6" t="str">
        <f aca="false">A4&amp;" · "&amp;C4</f>
        <v>ITM-002 · 5 GAL SLIM CONTAINER W/ CAP BLUE-WOW</v>
      </c>
      <c r="C4" s="6" t="s">
        <v>35</v>
      </c>
      <c r="D4" s="6" t="s">
        <v>30</v>
      </c>
      <c r="E4" s="6" t="s">
        <v>31</v>
      </c>
      <c r="F4" s="6" t="s">
        <v>32</v>
      </c>
      <c r="G4" s="6" t="s">
        <v>36</v>
      </c>
      <c r="H4" s="6" t="s">
        <v>37</v>
      </c>
      <c r="I4" s="7" t="n">
        <v>110</v>
      </c>
      <c r="J4" s="7" t="n">
        <v>145</v>
      </c>
      <c r="K4" s="8"/>
      <c r="L4" s="8" t="n">
        <f aca="false">SUMIFS('Stock Movements'!$E:$E,'Stock Movements'!$C:$C,$B4,'Stock Movements'!$D:$D,"In")</f>
        <v>200</v>
      </c>
      <c r="M4" s="8" t="n">
        <f aca="false">SUMIFS('Stock Movements'!$E:$E,'Stock Movements'!$C:$C,$B4,'Stock Movements'!$D:$D,"Out")</f>
        <v>53</v>
      </c>
      <c r="N4" s="8" t="n">
        <f aca="false">L4-M4</f>
        <v>147</v>
      </c>
      <c r="O4" s="9" t="str">
        <f aca="false">IF(N4&lt;=0,"Out",IF(AND(K4&lt;&gt;"",N4&lt;=K4),"Low","In Stock"))</f>
        <v>In Stock</v>
      </c>
      <c r="P4" s="7" t="n">
        <f aca="false">J4-I4</f>
        <v>35</v>
      </c>
    </row>
    <row r="5" customFormat="false" ht="15" hidden="false" customHeight="false" outlineLevel="0" collapsed="false">
      <c r="A5" s="6" t="s">
        <v>38</v>
      </c>
      <c r="B5" s="6" t="str">
        <f aca="false">A5&amp;" · "&amp;C5</f>
        <v>ITM-003 · 5 GAL SLIM CONTAINER W/ CAP GREEN</v>
      </c>
      <c r="C5" s="6" t="s">
        <v>39</v>
      </c>
      <c r="D5" s="6" t="s">
        <v>30</v>
      </c>
      <c r="E5" s="6" t="s">
        <v>31</v>
      </c>
      <c r="F5" s="6" t="s">
        <v>32</v>
      </c>
      <c r="G5" s="6"/>
      <c r="H5" s="6"/>
      <c r="I5" s="7" t="n">
        <v>105</v>
      </c>
      <c r="J5" s="7" t="n">
        <v>140</v>
      </c>
      <c r="K5" s="8"/>
      <c r="L5" s="8" t="n">
        <f aca="false">SUMIFS('Stock Movements'!$E:$E,'Stock Movements'!$C:$C,$B5,'Stock Movements'!$D:$D,"In")</f>
        <v>350</v>
      </c>
      <c r="M5" s="8" t="n">
        <f aca="false">SUMIFS('Stock Movements'!$E:$E,'Stock Movements'!$C:$C,$B5,'Stock Movements'!$D:$D,"Out")</f>
        <v>220</v>
      </c>
      <c r="N5" s="8" t="n">
        <f aca="false">L5-M5</f>
        <v>130</v>
      </c>
      <c r="O5" s="9" t="str">
        <f aca="false">IF(N5&lt;=0,"Out",IF(AND(K5&lt;&gt;"",N5&lt;=K5),"Low","In Stock"))</f>
        <v>In Stock</v>
      </c>
      <c r="P5" s="7" t="n">
        <f aca="false">J5-I5</f>
        <v>35</v>
      </c>
    </row>
    <row r="6" customFormat="false" ht="15" hidden="false" customHeight="false" outlineLevel="0" collapsed="false">
      <c r="A6" s="6" t="s">
        <v>40</v>
      </c>
      <c r="B6" s="6" t="str">
        <f aca="false">A6&amp;" · "&amp;C6</f>
        <v>ITM-004 · 5 GAL SLIM CONTAINER W/ CAP YELLOW</v>
      </c>
      <c r="C6" s="6" t="s">
        <v>41</v>
      </c>
      <c r="D6" s="6" t="s">
        <v>30</v>
      </c>
      <c r="E6" s="6" t="s">
        <v>31</v>
      </c>
      <c r="F6" s="6" t="s">
        <v>32</v>
      </c>
      <c r="G6" s="6"/>
      <c r="H6" s="6"/>
      <c r="I6" s="7" t="n">
        <v>105</v>
      </c>
      <c r="J6" s="7" t="n">
        <v>140</v>
      </c>
      <c r="K6" s="8"/>
      <c r="L6" s="8" t="n">
        <f aca="false">SUMIFS('Stock Movements'!$E:$E,'Stock Movements'!$C:$C,$B6,'Stock Movements'!$D:$D,"In")</f>
        <v>350</v>
      </c>
      <c r="M6" s="8" t="n">
        <f aca="false">SUMIFS('Stock Movements'!$E:$E,'Stock Movements'!$C:$C,$B6,'Stock Movements'!$D:$D,"Out")</f>
        <v>58</v>
      </c>
      <c r="N6" s="8" t="n">
        <f aca="false">L6-M6</f>
        <v>292</v>
      </c>
      <c r="O6" s="9" t="str">
        <f aca="false">IF(N6&lt;=0,"Out",IF(AND(K6&lt;&gt;"",N6&lt;=K6),"Low","In Stock"))</f>
        <v>In Stock</v>
      </c>
      <c r="P6" s="7" t="n">
        <f aca="false">J6-I6</f>
        <v>35</v>
      </c>
    </row>
    <row r="7" customFormat="false" ht="15" hidden="false" customHeight="false" outlineLevel="0" collapsed="false">
      <c r="A7" s="6" t="s">
        <v>42</v>
      </c>
      <c r="B7" s="6" t="str">
        <f aca="false">A7&amp;" · "&amp;C7</f>
        <v>ITM-005 · 5 GAL (PET) ROUND CONTAINER BLUE W/ CAP (CLASS A)</v>
      </c>
      <c r="C7" s="6" t="s">
        <v>43</v>
      </c>
      <c r="D7" s="6" t="s">
        <v>44</v>
      </c>
      <c r="E7" s="6" t="s">
        <v>31</v>
      </c>
      <c r="F7" s="6" t="s">
        <v>32</v>
      </c>
      <c r="G7" s="6" t="s">
        <v>33</v>
      </c>
      <c r="H7" s="6"/>
      <c r="I7" s="7" t="n">
        <v>112</v>
      </c>
      <c r="J7" s="7" t="n">
        <v>130</v>
      </c>
      <c r="K7" s="8"/>
      <c r="L7" s="8" t="n">
        <f aca="false">SUMIFS('Stock Movements'!$E:$E,'Stock Movements'!$C:$C,$B7,'Stock Movements'!$D:$D,"In")</f>
        <v>200</v>
      </c>
      <c r="M7" s="8" t="n">
        <f aca="false">SUMIFS('Stock Movements'!$E:$E,'Stock Movements'!$C:$C,$B7,'Stock Movements'!$D:$D,"Out")</f>
        <v>199</v>
      </c>
      <c r="N7" s="8" t="n">
        <f aca="false">L7-M7</f>
        <v>1</v>
      </c>
      <c r="O7" s="9" t="str">
        <f aca="false">IF(N7&lt;=0,"Out",IF(AND(K7&lt;&gt;"",N7&lt;=K7),"Low","In Stock"))</f>
        <v>In Stock</v>
      </c>
      <c r="P7" s="7" t="n">
        <f aca="false">J7-I7</f>
        <v>18</v>
      </c>
    </row>
    <row r="8" customFormat="false" ht="15" hidden="false" customHeight="false" outlineLevel="0" collapsed="false">
      <c r="A8" s="6" t="s">
        <v>45</v>
      </c>
      <c r="B8" s="6" t="str">
        <f aca="false">A8&amp;" · "&amp;C8</f>
        <v>ITM-006 · 5 GAL (PET) ROUND CONTAINER BLUE W/ CAP (CLASS A)</v>
      </c>
      <c r="C8" s="6" t="s">
        <v>43</v>
      </c>
      <c r="D8" s="6" t="s">
        <v>46</v>
      </c>
      <c r="E8" s="6" t="s">
        <v>31</v>
      </c>
      <c r="F8" s="6"/>
      <c r="G8" s="6" t="s">
        <v>36</v>
      </c>
      <c r="H8" s="6" t="s">
        <v>37</v>
      </c>
      <c r="I8" s="7" t="n">
        <v>116.7</v>
      </c>
      <c r="J8" s="7" t="n">
        <v>150</v>
      </c>
      <c r="K8" s="8"/>
      <c r="L8" s="8" t="n">
        <f aca="false">SUMIFS('Stock Movements'!$E:$E,'Stock Movements'!$C:$C,$B8,'Stock Movements'!$D:$D,"In")</f>
        <v>100</v>
      </c>
      <c r="M8" s="8" t="n">
        <f aca="false">SUMIFS('Stock Movements'!$E:$E,'Stock Movements'!$C:$C,$B8,'Stock Movements'!$D:$D,"Out")</f>
        <v>11</v>
      </c>
      <c r="N8" s="8" t="n">
        <f aca="false">L8-M8</f>
        <v>89</v>
      </c>
      <c r="O8" s="9" t="str">
        <f aca="false">IF(N8&lt;=0,"Out",IF(AND(K8&lt;&gt;"",N8&lt;=K8),"Low","In Stock"))</f>
        <v>In Stock</v>
      </c>
      <c r="P8" s="7" t="n">
        <f aca="false">J8-I8</f>
        <v>33.3</v>
      </c>
    </row>
    <row r="9" customFormat="false" ht="15" hidden="false" customHeight="false" outlineLevel="0" collapsed="false">
      <c r="A9" s="6" t="s">
        <v>47</v>
      </c>
      <c r="B9" s="6" t="str">
        <f aca="false">A9&amp;" · "&amp;C9</f>
        <v>ITM-007 · BIG CAP SEAL FOR SLIM LW</v>
      </c>
      <c r="C9" s="6" t="s">
        <v>48</v>
      </c>
      <c r="D9" s="6" t="s">
        <v>49</v>
      </c>
      <c r="E9" s="6" t="s">
        <v>50</v>
      </c>
      <c r="F9" s="6" t="s">
        <v>51</v>
      </c>
      <c r="G9" s="6"/>
      <c r="H9" s="6"/>
      <c r="I9" s="7" t="n">
        <v>100</v>
      </c>
      <c r="J9" s="7" t="n">
        <v>130</v>
      </c>
      <c r="K9" s="8"/>
      <c r="L9" s="8" t="n">
        <f aca="false">SUMIFS('Stock Movements'!$E:$E,'Stock Movements'!$C:$C,$B9,'Stock Movements'!$D:$D,"In")</f>
        <v>100</v>
      </c>
      <c r="M9" s="8" t="n">
        <f aca="false">SUMIFS('Stock Movements'!$E:$E,'Stock Movements'!$C:$C,$B9,'Stock Movements'!$D:$D,"Out")</f>
        <v>55</v>
      </c>
      <c r="N9" s="8" t="n">
        <f aca="false">L9-M9</f>
        <v>45</v>
      </c>
      <c r="O9" s="9" t="str">
        <f aca="false">IF(N9&lt;=0,"Out",IF(AND(K9&lt;&gt;"",N9&lt;=K9),"Low","In Stock"))</f>
        <v>In Stock</v>
      </c>
      <c r="P9" s="7" t="n">
        <f aca="false">J9-I9</f>
        <v>30</v>
      </c>
    </row>
    <row r="10" customFormat="false" ht="15" hidden="false" customHeight="false" outlineLevel="0" collapsed="false">
      <c r="A10" s="6" t="s">
        <v>52</v>
      </c>
      <c r="B10" s="6" t="str">
        <f aca="false">A10&amp;" · "&amp;C10</f>
        <v>ITM-008 · SMALL CAP SEAL FOR SLIM LW</v>
      </c>
      <c r="C10" s="6" t="s">
        <v>53</v>
      </c>
      <c r="D10" s="6" t="s">
        <v>54</v>
      </c>
      <c r="E10" s="6" t="s">
        <v>50</v>
      </c>
      <c r="F10" s="6" t="s">
        <v>55</v>
      </c>
      <c r="G10" s="6"/>
      <c r="H10" s="6"/>
      <c r="I10" s="7" t="n">
        <v>70</v>
      </c>
      <c r="J10" s="7" t="n">
        <v>115</v>
      </c>
      <c r="K10" s="8"/>
      <c r="L10" s="8" t="n">
        <f aca="false">SUMIFS('Stock Movements'!$E:$E,'Stock Movements'!$C:$C,$B10,'Stock Movements'!$D:$D,"In")</f>
        <v>100</v>
      </c>
      <c r="M10" s="8" t="n">
        <f aca="false">SUMIFS('Stock Movements'!$E:$E,'Stock Movements'!$C:$C,$B10,'Stock Movements'!$D:$D,"Out")</f>
        <v>24</v>
      </c>
      <c r="N10" s="8" t="n">
        <f aca="false">L10-M10</f>
        <v>76</v>
      </c>
      <c r="O10" s="9" t="str">
        <f aca="false">IF(N10&lt;=0,"Out",IF(AND(K10&lt;&gt;"",N10&lt;=K10),"Low","In Stock"))</f>
        <v>In Stock</v>
      </c>
      <c r="P10" s="7" t="n">
        <f aca="false">J10-I10</f>
        <v>45</v>
      </c>
    </row>
    <row r="11" customFormat="false" ht="15" hidden="false" customHeight="false" outlineLevel="0" collapsed="false">
      <c r="A11" s="6" t="s">
        <v>56</v>
      </c>
      <c r="B11" s="6" t="str">
        <f aca="false">A11&amp;" · "&amp;C11</f>
        <v>ITM-009 · FAUCET SEAL FOR SLIM LW</v>
      </c>
      <c r="C11" s="6" t="s">
        <v>57</v>
      </c>
      <c r="D11" s="6"/>
      <c r="E11" s="6" t="s">
        <v>50</v>
      </c>
      <c r="F11" s="6" t="s">
        <v>55</v>
      </c>
      <c r="G11" s="6"/>
      <c r="H11" s="6"/>
      <c r="I11" s="7" t="n">
        <v>100</v>
      </c>
      <c r="J11" s="7" t="n">
        <v>170</v>
      </c>
      <c r="K11" s="8"/>
      <c r="L11" s="8" t="n">
        <f aca="false">SUMIFS('Stock Movements'!$E:$E,'Stock Movements'!$C:$C,$B11,'Stock Movements'!$D:$D,"In")</f>
        <v>100</v>
      </c>
      <c r="M11" s="8" t="n">
        <f aca="false">SUMIFS('Stock Movements'!$E:$E,'Stock Movements'!$C:$C,$B11,'Stock Movements'!$D:$D,"Out")</f>
        <v>62</v>
      </c>
      <c r="N11" s="8" t="n">
        <f aca="false">L11-M11</f>
        <v>38</v>
      </c>
      <c r="O11" s="9" t="str">
        <f aca="false">IF(N11&lt;=0,"Out",IF(AND(K11&lt;&gt;"",N11&lt;=K11),"Low","In Stock"))</f>
        <v>In Stock</v>
      </c>
      <c r="P11" s="7" t="n">
        <f aca="false">J11-I11</f>
        <v>70</v>
      </c>
    </row>
    <row r="12" customFormat="false" ht="15" hidden="false" customHeight="false" outlineLevel="0" collapsed="false">
      <c r="A12" s="6" t="s">
        <v>58</v>
      </c>
      <c r="B12" s="6" t="str">
        <f aca="false">A12&amp;" · "&amp;C12</f>
        <v>ITM-010 · FAUCET SEAL FOR SLIM LW (CLASS B)</v>
      </c>
      <c r="C12" s="6" t="s">
        <v>59</v>
      </c>
      <c r="D12" s="6"/>
      <c r="E12" s="6" t="s">
        <v>50</v>
      </c>
      <c r="F12" s="6" t="s">
        <v>55</v>
      </c>
      <c r="G12" s="6"/>
      <c r="H12" s="6"/>
      <c r="I12" s="7" t="n">
        <v>95</v>
      </c>
      <c r="J12" s="7" t="n">
        <v>170</v>
      </c>
      <c r="K12" s="8"/>
      <c r="L12" s="8" t="n">
        <f aca="false">SUMIFS('Stock Movements'!$E:$E,'Stock Movements'!$C:$C,$B12,'Stock Movements'!$D:$D,"In")</f>
        <v>25</v>
      </c>
      <c r="M12" s="8" t="n">
        <f aca="false">SUMIFS('Stock Movements'!$E:$E,'Stock Movements'!$C:$C,$B12,'Stock Movements'!$D:$D,"Out")</f>
        <v>0</v>
      </c>
      <c r="N12" s="8" t="n">
        <f aca="false">L12-M12</f>
        <v>25</v>
      </c>
      <c r="O12" s="9" t="str">
        <f aca="false">IF(N12&lt;=0,"Out",IF(AND(K12&lt;&gt;"",N12&lt;=K12),"Low","In Stock"))</f>
        <v>In Stock</v>
      </c>
      <c r="P12" s="7" t="n">
        <f aca="false">J12-I12</f>
        <v>75</v>
      </c>
    </row>
    <row r="13" customFormat="false" ht="15" hidden="false" customHeight="false" outlineLevel="0" collapsed="false">
      <c r="A13" s="6" t="s">
        <v>60</v>
      </c>
      <c r="B13" s="6" t="str">
        <f aca="false">A13&amp;" · "&amp;C13</f>
        <v>ITM-011 · UMBRELLA SEAL FOR ROUND LW</v>
      </c>
      <c r="C13" s="6" t="s">
        <v>61</v>
      </c>
      <c r="D13" s="6" t="s">
        <v>62</v>
      </c>
      <c r="E13" s="6" t="s">
        <v>50</v>
      </c>
      <c r="F13" s="6" t="s">
        <v>51</v>
      </c>
      <c r="G13" s="6"/>
      <c r="H13" s="6"/>
      <c r="I13" s="7" t="n">
        <v>100</v>
      </c>
      <c r="J13" s="7" t="n">
        <v>130</v>
      </c>
      <c r="K13" s="8"/>
      <c r="L13" s="8" t="n">
        <f aca="false">SUMIFS('Stock Movements'!$E:$E,'Stock Movements'!$C:$C,$B13,'Stock Movements'!$D:$D,"In")</f>
        <v>100</v>
      </c>
      <c r="M13" s="8" t="n">
        <f aca="false">SUMIFS('Stock Movements'!$E:$E,'Stock Movements'!$C:$C,$B13,'Stock Movements'!$D:$D,"Out")</f>
        <v>33</v>
      </c>
      <c r="N13" s="8" t="n">
        <f aca="false">L13-M13</f>
        <v>67</v>
      </c>
      <c r="O13" s="9" t="str">
        <f aca="false">IF(N13&lt;=0,"Out",IF(AND(K13&lt;&gt;"",N13&lt;=K13),"Low","In Stock"))</f>
        <v>In Stock</v>
      </c>
      <c r="P13" s="7" t="n">
        <f aca="false">J13-I13</f>
        <v>30</v>
      </c>
    </row>
    <row r="14" customFormat="false" ht="15" hidden="false" customHeight="false" outlineLevel="0" collapsed="false">
      <c r="A14" s="6" t="s">
        <v>63</v>
      </c>
      <c r="B14" s="6" t="str">
        <f aca="false">A14&amp;" · "&amp;C14</f>
        <v>ITM-012 · UMBRELLA SEAL FOR ROUND LW (CLASS B)</v>
      </c>
      <c r="C14" s="6" t="s">
        <v>64</v>
      </c>
      <c r="D14" s="6"/>
      <c r="E14" s="6" t="s">
        <v>50</v>
      </c>
      <c r="F14" s="6" t="s">
        <v>51</v>
      </c>
      <c r="G14" s="6"/>
      <c r="H14" s="6"/>
      <c r="I14" s="7" t="n">
        <v>95</v>
      </c>
      <c r="J14" s="7" t="n">
        <v>130</v>
      </c>
      <c r="K14" s="8"/>
      <c r="L14" s="8" t="n">
        <f aca="false">SUMIFS('Stock Movements'!$E:$E,'Stock Movements'!$C:$C,$B14,'Stock Movements'!$D:$D,"In")</f>
        <v>50</v>
      </c>
      <c r="M14" s="8" t="n">
        <f aca="false">SUMIFS('Stock Movements'!$E:$E,'Stock Movements'!$C:$C,$B14,'Stock Movements'!$D:$D,"Out")</f>
        <v>0</v>
      </c>
      <c r="N14" s="8" t="n">
        <f aca="false">L14-M14</f>
        <v>50</v>
      </c>
      <c r="O14" s="9" t="str">
        <f aca="false">IF(N14&lt;=0,"Out",IF(AND(K14&lt;&gt;"",N14&lt;=K14),"Low","In Stock"))</f>
        <v>In Stock</v>
      </c>
      <c r="P14" s="7" t="n">
        <f aca="false">J14-I14</f>
        <v>35</v>
      </c>
    </row>
    <row r="15" customFormat="false" ht="15" hidden="false" customHeight="false" outlineLevel="0" collapsed="false">
      <c r="A15" s="6" t="s">
        <v>65</v>
      </c>
      <c r="B15" s="6" t="str">
        <f aca="false">A15&amp;" · "&amp;C15</f>
        <v>ITM-013 · BIG CAP SEAL FOR SLIM GENERIC</v>
      </c>
      <c r="C15" s="6" t="s">
        <v>66</v>
      </c>
      <c r="D15" s="6" t="s">
        <v>67</v>
      </c>
      <c r="E15" s="6" t="s">
        <v>50</v>
      </c>
      <c r="F15" s="6" t="s">
        <v>51</v>
      </c>
      <c r="G15" s="6" t="s">
        <v>33</v>
      </c>
      <c r="H15" s="6"/>
      <c r="I15" s="7" t="n">
        <v>100</v>
      </c>
      <c r="J15" s="7" t="n">
        <v>120</v>
      </c>
      <c r="K15" s="8"/>
      <c r="L15" s="8" t="n">
        <f aca="false">SUMIFS('Stock Movements'!$E:$E,'Stock Movements'!$C:$C,$B15,'Stock Movements'!$D:$D,"In")</f>
        <v>100</v>
      </c>
      <c r="M15" s="8" t="n">
        <f aca="false">SUMIFS('Stock Movements'!$E:$E,'Stock Movements'!$C:$C,$B15,'Stock Movements'!$D:$D,"Out")</f>
        <v>100</v>
      </c>
      <c r="N15" s="8" t="n">
        <f aca="false">L15-M15</f>
        <v>0</v>
      </c>
      <c r="O15" s="9" t="str">
        <f aca="false">IF(N15&lt;=0,"Out",IF(AND(K15&lt;&gt;"",N15&lt;=K15),"Low","In Stock"))</f>
        <v>Out</v>
      </c>
      <c r="P15" s="7" t="n">
        <f aca="false">J15-I15</f>
        <v>20</v>
      </c>
    </row>
    <row r="16" customFormat="false" ht="15" hidden="false" customHeight="false" outlineLevel="0" collapsed="false">
      <c r="A16" s="6" t="s">
        <v>68</v>
      </c>
      <c r="B16" s="6" t="str">
        <f aca="false">A16&amp;" · "&amp;C16</f>
        <v>ITM-014 · SMALL CAP SEAL FOR SLIM GENERIC</v>
      </c>
      <c r="C16" s="6" t="s">
        <v>69</v>
      </c>
      <c r="D16" s="6" t="s">
        <v>70</v>
      </c>
      <c r="E16" s="6" t="s">
        <v>50</v>
      </c>
      <c r="F16" s="6" t="s">
        <v>55</v>
      </c>
      <c r="G16" s="6"/>
      <c r="H16" s="6"/>
      <c r="I16" s="7" t="n">
        <v>70</v>
      </c>
      <c r="J16" s="7" t="n">
        <v>110</v>
      </c>
      <c r="K16" s="8"/>
      <c r="L16" s="8" t="n">
        <f aca="false">SUMIFS('Stock Movements'!$E:$E,'Stock Movements'!$C:$C,$B16,'Stock Movements'!$D:$D,"In")</f>
        <v>100</v>
      </c>
      <c r="M16" s="8" t="n">
        <f aca="false">SUMIFS('Stock Movements'!$E:$E,'Stock Movements'!$C:$C,$B16,'Stock Movements'!$D:$D,"Out")</f>
        <v>36</v>
      </c>
      <c r="N16" s="8" t="n">
        <f aca="false">L16-M16</f>
        <v>64</v>
      </c>
      <c r="O16" s="9" t="str">
        <f aca="false">IF(N16&lt;=0,"Out",IF(AND(K16&lt;&gt;"",N16&lt;=K16),"Low","In Stock"))</f>
        <v>In Stock</v>
      </c>
      <c r="P16" s="7" t="n">
        <f aca="false">J16-I16</f>
        <v>40</v>
      </c>
    </row>
    <row r="17" customFormat="false" ht="15" hidden="false" customHeight="false" outlineLevel="0" collapsed="false">
      <c r="A17" s="6" t="s">
        <v>71</v>
      </c>
      <c r="B17" s="6" t="str">
        <f aca="false">A17&amp;" · "&amp;C17</f>
        <v>ITM-015 · FAUCET SEAL FOR SLIM GENERIC</v>
      </c>
      <c r="C17" s="6" t="s">
        <v>72</v>
      </c>
      <c r="D17" s="6" t="s">
        <v>73</v>
      </c>
      <c r="E17" s="6" t="s">
        <v>50</v>
      </c>
      <c r="F17" s="6" t="s">
        <v>55</v>
      </c>
      <c r="G17" s="6" t="s">
        <v>33</v>
      </c>
      <c r="H17" s="6"/>
      <c r="I17" s="7" t="n">
        <v>100</v>
      </c>
      <c r="J17" s="7" t="n">
        <v>170</v>
      </c>
      <c r="K17" s="8"/>
      <c r="L17" s="8" t="n">
        <f aca="false">SUMIFS('Stock Movements'!$E:$E,'Stock Movements'!$C:$C,$B17,'Stock Movements'!$D:$D,"In")</f>
        <v>100</v>
      </c>
      <c r="M17" s="8" t="n">
        <f aca="false">SUMIFS('Stock Movements'!$E:$E,'Stock Movements'!$C:$C,$B17,'Stock Movements'!$D:$D,"Out")</f>
        <v>100</v>
      </c>
      <c r="N17" s="8" t="n">
        <f aca="false">L17-M17</f>
        <v>0</v>
      </c>
      <c r="O17" s="9" t="str">
        <f aca="false">IF(N17&lt;=0,"Out",IF(AND(K17&lt;&gt;"",N17&lt;=K17),"Low","In Stock"))</f>
        <v>Out</v>
      </c>
      <c r="P17" s="7" t="n">
        <f aca="false">J17-I17</f>
        <v>70</v>
      </c>
    </row>
    <row r="18" customFormat="false" ht="15" hidden="false" customHeight="false" outlineLevel="0" collapsed="false">
      <c r="A18" s="6" t="s">
        <v>74</v>
      </c>
      <c r="B18" s="6" t="str">
        <f aca="false">A18&amp;" · "&amp;C18</f>
        <v>ITM-016 · FAUCET SEAL FOR SLIM GENERIC</v>
      </c>
      <c r="C18" s="6" t="s">
        <v>72</v>
      </c>
      <c r="D18" s="6" t="s">
        <v>73</v>
      </c>
      <c r="E18" s="6" t="s">
        <v>50</v>
      </c>
      <c r="F18" s="6" t="s">
        <v>55</v>
      </c>
      <c r="G18" s="6" t="s">
        <v>36</v>
      </c>
      <c r="H18" s="6" t="s">
        <v>37</v>
      </c>
      <c r="I18" s="7" t="n">
        <v>115</v>
      </c>
      <c r="J18" s="7" t="n">
        <v>180</v>
      </c>
      <c r="K18" s="8"/>
      <c r="L18" s="8" t="n">
        <f aca="false">SUMIFS('Stock Movements'!$E:$E,'Stock Movements'!$C:$C,$B18,'Stock Movements'!$D:$D,"In")</f>
        <v>100</v>
      </c>
      <c r="M18" s="8" t="n">
        <f aca="false">SUMIFS('Stock Movements'!$E:$E,'Stock Movements'!$C:$C,$B18,'Stock Movements'!$D:$D,"Out")</f>
        <v>11</v>
      </c>
      <c r="N18" s="8" t="n">
        <f aca="false">L18-M18</f>
        <v>89</v>
      </c>
      <c r="O18" s="9" t="str">
        <f aca="false">IF(N18&lt;=0,"Out",IF(AND(K18&lt;&gt;"",N18&lt;=K18),"Low","In Stock"))</f>
        <v>In Stock</v>
      </c>
      <c r="P18" s="7" t="n">
        <f aca="false">J18-I18</f>
        <v>65</v>
      </c>
    </row>
    <row r="19" customFormat="false" ht="15" hidden="false" customHeight="false" outlineLevel="0" collapsed="false">
      <c r="A19" s="6" t="s">
        <v>75</v>
      </c>
      <c r="B19" s="6" t="str">
        <f aca="false">A19&amp;" · "&amp;C19</f>
        <v>ITM-017 · UMBRELLA SEAL FOR ROUND GENERIC</v>
      </c>
      <c r="C19" s="6" t="s">
        <v>76</v>
      </c>
      <c r="D19" s="6" t="s">
        <v>77</v>
      </c>
      <c r="E19" s="6" t="s">
        <v>50</v>
      </c>
      <c r="F19" s="6" t="s">
        <v>51</v>
      </c>
      <c r="G19" s="6"/>
      <c r="H19" s="6"/>
      <c r="I19" s="7" t="n">
        <v>100</v>
      </c>
      <c r="J19" s="7" t="n">
        <v>125</v>
      </c>
      <c r="K19" s="8"/>
      <c r="L19" s="8" t="n">
        <f aca="false">SUMIFS('Stock Movements'!$E:$E,'Stock Movements'!$C:$C,$B19,'Stock Movements'!$D:$D,"In")</f>
        <v>100</v>
      </c>
      <c r="M19" s="8" t="n">
        <f aca="false">SUMIFS('Stock Movements'!$E:$E,'Stock Movements'!$C:$C,$B19,'Stock Movements'!$D:$D,"Out")</f>
        <v>75</v>
      </c>
      <c r="N19" s="8" t="n">
        <f aca="false">L19-M19</f>
        <v>25</v>
      </c>
      <c r="O19" s="9" t="str">
        <f aca="false">IF(N19&lt;=0,"Out",IF(AND(K19&lt;&gt;"",N19&lt;=K19),"Low","In Stock"))</f>
        <v>In Stock</v>
      </c>
      <c r="P19" s="7" t="n">
        <f aca="false">J19-I19</f>
        <v>25</v>
      </c>
    </row>
    <row r="20" customFormat="false" ht="15" hidden="false" customHeight="false" outlineLevel="0" collapsed="false">
      <c r="A20" s="6" t="s">
        <v>78</v>
      </c>
      <c r="B20" s="6" t="str">
        <f aca="false">A20&amp;" · "&amp;C20</f>
        <v>ITM-018 · 1 L SOAP SANITIZER</v>
      </c>
      <c r="C20" s="6" t="s">
        <v>79</v>
      </c>
      <c r="D20" s="6" t="s">
        <v>80</v>
      </c>
      <c r="E20" s="6" t="s">
        <v>81</v>
      </c>
      <c r="F20" s="6" t="s">
        <v>32</v>
      </c>
      <c r="G20" s="6"/>
      <c r="H20" s="6"/>
      <c r="I20" s="7" t="n">
        <v>49</v>
      </c>
      <c r="J20" s="7" t="n">
        <v>65</v>
      </c>
      <c r="K20" s="8"/>
      <c r="L20" s="8" t="n">
        <f aca="false">SUMIFS('Stock Movements'!$E:$E,'Stock Movements'!$C:$C,$B20,'Stock Movements'!$D:$D,"In")</f>
        <v>80</v>
      </c>
      <c r="M20" s="8" t="n">
        <f aca="false">SUMIFS('Stock Movements'!$E:$E,'Stock Movements'!$C:$C,$B20,'Stock Movements'!$D:$D,"Out")</f>
        <v>35</v>
      </c>
      <c r="N20" s="8" t="n">
        <f aca="false">L20-M20</f>
        <v>45</v>
      </c>
      <c r="O20" s="9" t="str">
        <f aca="false">IF(N20&lt;=0,"Out",IF(AND(K20&lt;&gt;"",N20&lt;=K20),"Low","In Stock"))</f>
        <v>In Stock</v>
      </c>
      <c r="P20" s="7" t="n">
        <f aca="false">J20-I20</f>
        <v>16</v>
      </c>
    </row>
    <row r="21" customFormat="false" ht="15" hidden="false" customHeight="false" outlineLevel="0" collapsed="false">
      <c r="A21" s="6" t="s">
        <v>82</v>
      </c>
      <c r="B21" s="6" t="str">
        <f aca="false">A21&amp;" · "&amp;C21</f>
        <v>ITM-019 · SOAP SANITIZER: SOAP WOW-1LITER</v>
      </c>
      <c r="C21" s="6" t="s">
        <v>83</v>
      </c>
      <c r="D21" s="6" t="s">
        <v>84</v>
      </c>
      <c r="E21" s="6" t="s">
        <v>81</v>
      </c>
      <c r="F21" s="6" t="s">
        <v>32</v>
      </c>
      <c r="G21" s="6" t="s">
        <v>36</v>
      </c>
      <c r="H21" s="6" t="s">
        <v>37</v>
      </c>
      <c r="I21" s="7" t="n">
        <v>63</v>
      </c>
      <c r="J21" s="7" t="n">
        <v>80</v>
      </c>
      <c r="K21" s="8"/>
      <c r="L21" s="8" t="n">
        <f aca="false">SUMIFS('Stock Movements'!$E:$E,'Stock Movements'!$C:$C,$B21,'Stock Movements'!$D:$D,"In")</f>
        <v>32</v>
      </c>
      <c r="M21" s="8" t="n">
        <f aca="false">SUMIFS('Stock Movements'!$E:$E,'Stock Movements'!$C:$C,$B21,'Stock Movements'!$D:$D,"Out")</f>
        <v>0</v>
      </c>
      <c r="N21" s="8" t="n">
        <f aca="false">L21-M21</f>
        <v>32</v>
      </c>
      <c r="O21" s="9" t="str">
        <f aca="false">IF(N21&lt;=0,"Out",IF(AND(K21&lt;&gt;"",N21&lt;=K21),"Low","In Stock"))</f>
        <v>In Stock</v>
      </c>
      <c r="P21" s="7" t="n">
        <f aca="false">J21-I21</f>
        <v>17</v>
      </c>
    </row>
    <row r="22" customFormat="false" ht="15" hidden="false" customHeight="false" outlineLevel="0" collapsed="false">
      <c r="A22" s="6" t="s">
        <v>85</v>
      </c>
      <c r="B22" s="6" t="str">
        <f aca="false">A22&amp;" · "&amp;C22</f>
        <v>ITM-020 · AUSTRALIAN SALT</v>
      </c>
      <c r="C22" s="6" t="s">
        <v>86</v>
      </c>
      <c r="D22" s="6" t="s">
        <v>87</v>
      </c>
      <c r="E22" s="6" t="s">
        <v>88</v>
      </c>
      <c r="F22" s="6" t="s">
        <v>89</v>
      </c>
      <c r="G22" s="6" t="s">
        <v>33</v>
      </c>
      <c r="H22" s="6"/>
      <c r="I22" s="7" t="n">
        <v>390</v>
      </c>
      <c r="J22" s="7" t="n">
        <v>520</v>
      </c>
      <c r="K22" s="8"/>
      <c r="L22" s="8" t="n">
        <f aca="false">SUMIFS('Stock Movements'!$E:$E,'Stock Movements'!$C:$C,$B22,'Stock Movements'!$D:$D,"In")</f>
        <v>15</v>
      </c>
      <c r="M22" s="8" t="n">
        <f aca="false">SUMIFS('Stock Movements'!$E:$E,'Stock Movements'!$C:$C,$B22,'Stock Movements'!$D:$D,"Out")</f>
        <v>15</v>
      </c>
      <c r="N22" s="8" t="n">
        <f aca="false">L22-M22</f>
        <v>0</v>
      </c>
      <c r="O22" s="9" t="str">
        <f aca="false">IF(N22&lt;=0,"Out",IF(AND(K22&lt;&gt;"",N22&lt;=K22),"Low","In Stock"))</f>
        <v>Out</v>
      </c>
      <c r="P22" s="7" t="n">
        <f aca="false">J22-I22</f>
        <v>130</v>
      </c>
    </row>
    <row r="23" customFormat="false" ht="15" hidden="false" customHeight="false" outlineLevel="0" collapsed="false">
      <c r="A23" s="6" t="s">
        <v>90</v>
      </c>
      <c r="B23" s="6" t="str">
        <f aca="false">A23&amp;" · "&amp;C23</f>
        <v>ITM-021 · INDUSTRIAL SALT ART-COURSE</v>
      </c>
      <c r="C23" s="6" t="s">
        <v>91</v>
      </c>
      <c r="D23" s="6"/>
      <c r="E23" s="6" t="s">
        <v>88</v>
      </c>
      <c r="F23" s="6" t="s">
        <v>89</v>
      </c>
      <c r="G23" s="6"/>
      <c r="H23" s="6"/>
      <c r="I23" s="7" t="n">
        <v>410</v>
      </c>
      <c r="J23" s="7" t="n">
        <v>520</v>
      </c>
      <c r="K23" s="8"/>
      <c r="L23" s="8" t="n">
        <f aca="false">SUMIFS('Stock Movements'!$E:$E,'Stock Movements'!$C:$C,$B23,'Stock Movements'!$D:$D,"In")</f>
        <v>70</v>
      </c>
      <c r="M23" s="8" t="n">
        <f aca="false">SUMIFS('Stock Movements'!$E:$E,'Stock Movements'!$C:$C,$B23,'Stock Movements'!$D:$D,"Out")</f>
        <v>63</v>
      </c>
      <c r="N23" s="8" t="n">
        <f aca="false">L23-M23</f>
        <v>7</v>
      </c>
      <c r="O23" s="9" t="str">
        <f aca="false">IF(N23&lt;=0,"Out",IF(AND(K23&lt;&gt;"",N23&lt;=K23),"Low","In Stock"))</f>
        <v>In Stock</v>
      </c>
      <c r="P23" s="7" t="n">
        <f aca="false">J23-I23</f>
        <v>110</v>
      </c>
    </row>
    <row r="24" customFormat="false" ht="15" hidden="false" customHeight="false" outlineLevel="0" collapsed="false">
      <c r="A24" s="6" t="s">
        <v>92</v>
      </c>
      <c r="B24" s="6" t="str">
        <f aca="false">A24&amp;" · "&amp;C24</f>
        <v>ITM-022 · INDUSTRIAL SALT ART-COURSE</v>
      </c>
      <c r="C24" s="6" t="s">
        <v>91</v>
      </c>
      <c r="D24" s="6"/>
      <c r="E24" s="6" t="s">
        <v>88</v>
      </c>
      <c r="F24" s="6" t="s">
        <v>89</v>
      </c>
      <c r="G24" s="6" t="s">
        <v>36</v>
      </c>
      <c r="H24" s="6" t="s">
        <v>37</v>
      </c>
      <c r="I24" s="7" t="n">
        <v>400</v>
      </c>
      <c r="J24" s="7" t="n">
        <v>520</v>
      </c>
      <c r="K24" s="8"/>
      <c r="L24" s="8" t="n">
        <f aca="false">SUMIFS('Stock Movements'!$E:$E,'Stock Movements'!$C:$C,$B24,'Stock Movements'!$D:$D,"In")</f>
        <v>20</v>
      </c>
      <c r="M24" s="8" t="n">
        <f aca="false">SUMIFS('Stock Movements'!$E:$E,'Stock Movements'!$C:$C,$B24,'Stock Movements'!$D:$D,"Out")</f>
        <v>0</v>
      </c>
      <c r="N24" s="8" t="n">
        <f aca="false">L24-M24</f>
        <v>20</v>
      </c>
      <c r="O24" s="9" t="str">
        <f aca="false">IF(N24&lt;=0,"Out",IF(AND(K24&lt;&gt;"",N24&lt;=K24),"Low","In Stock"))</f>
        <v>In Stock</v>
      </c>
      <c r="P24" s="7" t="n">
        <f aca="false">J24-I24</f>
        <v>120</v>
      </c>
    </row>
    <row r="25" customFormat="false" ht="15" hidden="false" customHeight="false" outlineLevel="0" collapsed="false">
      <c r="A25" s="6" t="s">
        <v>93</v>
      </c>
      <c r="B25" s="6" t="str">
        <f aca="false">A25&amp;" · "&amp;C25</f>
        <v>ITM-023 · 5M SF 20SL LW ( MONTHLY (2PC) FOR PURIFIED/MINERAL )</v>
      </c>
      <c r="C25" s="6" t="s">
        <v>94</v>
      </c>
      <c r="D25" s="6" t="s">
        <v>95</v>
      </c>
      <c r="E25" s="6" t="s">
        <v>96</v>
      </c>
      <c r="F25" s="6" t="s">
        <v>32</v>
      </c>
      <c r="G25" s="6"/>
      <c r="H25" s="6"/>
      <c r="I25" s="7" t="n">
        <v>85</v>
      </c>
      <c r="J25" s="7" t="n">
        <v>110</v>
      </c>
      <c r="K25" s="8"/>
      <c r="L25" s="8" t="n">
        <f aca="false">SUMIFS('Stock Movements'!$E:$E,'Stock Movements'!$C:$C,$B25,'Stock Movements'!$D:$D,"In")</f>
        <v>25</v>
      </c>
      <c r="M25" s="8" t="n">
        <f aca="false">SUMIFS('Stock Movements'!$E:$E,'Stock Movements'!$C:$C,$B25,'Stock Movements'!$D:$D,"Out")</f>
        <v>9</v>
      </c>
      <c r="N25" s="8" t="n">
        <f aca="false">L25-M25</f>
        <v>16</v>
      </c>
      <c r="O25" s="9" t="str">
        <f aca="false">IF(N25&lt;=0,"Out",IF(AND(K25&lt;&gt;"",N25&lt;=K25),"Low","In Stock"))</f>
        <v>In Stock</v>
      </c>
      <c r="P25" s="7" t="n">
        <f aca="false">J25-I25</f>
        <v>25</v>
      </c>
    </row>
    <row r="26" customFormat="false" ht="15" hidden="false" customHeight="false" outlineLevel="0" collapsed="false">
      <c r="A26" s="6" t="s">
        <v>97</v>
      </c>
      <c r="B26" s="6" t="str">
        <f aca="false">A26&amp;" · "&amp;C26</f>
        <v>ITM-024 · SEDIMENT: LWS 20" SLIM 5-MIC</v>
      </c>
      <c r="C26" s="6" t="s">
        <v>98</v>
      </c>
      <c r="D26" s="6" t="s">
        <v>95</v>
      </c>
      <c r="E26" s="6" t="s">
        <v>96</v>
      </c>
      <c r="F26" s="6" t="s">
        <v>32</v>
      </c>
      <c r="G26" s="6"/>
      <c r="H26" s="6"/>
      <c r="I26" s="7" t="n">
        <v>75</v>
      </c>
      <c r="J26" s="7" t="n">
        <v>110</v>
      </c>
      <c r="K26" s="8"/>
      <c r="L26" s="8" t="n">
        <f aca="false">SUMIFS('Stock Movements'!$E:$E,'Stock Movements'!$C:$C,$B26,'Stock Movements'!$D:$D,"In")</f>
        <v>10</v>
      </c>
      <c r="M26" s="8" t="n">
        <f aca="false">SUMIFS('Stock Movements'!$E:$E,'Stock Movements'!$C:$C,$B26,'Stock Movements'!$D:$D,"Out")</f>
        <v>0</v>
      </c>
      <c r="N26" s="8" t="n">
        <f aca="false">L26-M26</f>
        <v>10</v>
      </c>
      <c r="O26" s="9" t="str">
        <f aca="false">IF(N26&lt;=0,"Out",IF(AND(K26&lt;&gt;"",N26&lt;=K26),"Low","In Stock"))</f>
        <v>In Stock</v>
      </c>
      <c r="P26" s="7" t="n">
        <f aca="false">J26-I26</f>
        <v>35</v>
      </c>
    </row>
    <row r="27" customFormat="false" ht="15" hidden="false" customHeight="false" outlineLevel="0" collapsed="false">
      <c r="A27" s="6" t="s">
        <v>99</v>
      </c>
      <c r="B27" s="6" t="str">
        <f aca="false">A27&amp;" · "&amp;C27</f>
        <v>ITM-025 · 1M SF 20S LW ( QUARTERLY (2PC) FOR PURIFIED/MINERAL )</v>
      </c>
      <c r="C27" s="6" t="s">
        <v>100</v>
      </c>
      <c r="D27" s="6" t="s">
        <v>101</v>
      </c>
      <c r="E27" s="6" t="s">
        <v>96</v>
      </c>
      <c r="F27" s="6" t="s">
        <v>32</v>
      </c>
      <c r="G27" s="6"/>
      <c r="H27" s="6"/>
      <c r="I27" s="7" t="n">
        <v>95</v>
      </c>
      <c r="J27" s="7" t="n">
        <v>110</v>
      </c>
      <c r="K27" s="8"/>
      <c r="L27" s="8" t="n">
        <f aca="false">SUMIFS('Stock Movements'!$E:$E,'Stock Movements'!$C:$C,$B27,'Stock Movements'!$D:$D,"In")</f>
        <v>25</v>
      </c>
      <c r="M27" s="8" t="n">
        <f aca="false">SUMIFS('Stock Movements'!$E:$E,'Stock Movements'!$C:$C,$B27,'Stock Movements'!$D:$D,"Out")</f>
        <v>13</v>
      </c>
      <c r="N27" s="8" t="n">
        <f aca="false">L27-M27</f>
        <v>12</v>
      </c>
      <c r="O27" s="9" t="str">
        <f aca="false">IF(N27&lt;=0,"Out",IF(AND(K27&lt;&gt;"",N27&lt;=K27),"Low","In Stock"))</f>
        <v>In Stock</v>
      </c>
      <c r="P27" s="7" t="n">
        <f aca="false">J27-I27</f>
        <v>15</v>
      </c>
    </row>
    <row r="28" customFormat="false" ht="15" hidden="false" customHeight="false" outlineLevel="0" collapsed="false">
      <c r="A28" s="6" t="s">
        <v>102</v>
      </c>
      <c r="B28" s="6" t="str">
        <f aca="false">A28&amp;" · "&amp;C28</f>
        <v>ITM-026 · SEDIMENT: LWS 20" SLIM 1-MIC</v>
      </c>
      <c r="C28" s="6" t="s">
        <v>103</v>
      </c>
      <c r="D28" s="6" t="s">
        <v>101</v>
      </c>
      <c r="E28" s="6" t="s">
        <v>96</v>
      </c>
      <c r="F28" s="6" t="s">
        <v>32</v>
      </c>
      <c r="G28" s="6"/>
      <c r="H28" s="6"/>
      <c r="I28" s="7" t="n">
        <v>85</v>
      </c>
      <c r="J28" s="7" t="n">
        <v>110</v>
      </c>
      <c r="K28" s="8"/>
      <c r="L28" s="8" t="n">
        <f aca="false">SUMIFS('Stock Movements'!$E:$E,'Stock Movements'!$C:$C,$B28,'Stock Movements'!$D:$D,"In")</f>
        <v>5</v>
      </c>
      <c r="M28" s="8" t="n">
        <f aca="false">SUMIFS('Stock Movements'!$E:$E,'Stock Movements'!$C:$C,$B28,'Stock Movements'!$D:$D,"Out")</f>
        <v>0</v>
      </c>
      <c r="N28" s="8" t="n">
        <f aca="false">L28-M28</f>
        <v>5</v>
      </c>
      <c r="O28" s="9" t="str">
        <f aca="false">IF(N28&lt;=0,"Out",IF(AND(K28&lt;&gt;"",N28&lt;=K28),"Low","In Stock"))</f>
        <v>In Stock</v>
      </c>
      <c r="P28" s="7" t="n">
        <f aca="false">J28-I28</f>
        <v>25</v>
      </c>
    </row>
    <row r="29" customFormat="false" ht="28.35" hidden="false" customHeight="false" outlineLevel="0" collapsed="false">
      <c r="A29" s="6" t="s">
        <v>104</v>
      </c>
      <c r="B29" s="10" t="str">
        <f aca="false">A29&amp;" · "&amp;C29</f>
        <v>ITM-027 · 1M SF 10SL LW ( QUARTERLY (1PC) FOR ALKALINE )
(SEDIMENT: LWS 10" SLIM 1-MIC)</v>
      </c>
      <c r="C29" s="10" t="s">
        <v>105</v>
      </c>
      <c r="D29" s="6" t="s">
        <v>106</v>
      </c>
      <c r="E29" s="6" t="s">
        <v>96</v>
      </c>
      <c r="F29" s="6" t="s">
        <v>32</v>
      </c>
      <c r="G29" s="6"/>
      <c r="H29" s="6"/>
      <c r="I29" s="7" t="n">
        <v>61</v>
      </c>
      <c r="J29" s="7" t="n">
        <v>90</v>
      </c>
      <c r="K29" s="8"/>
      <c r="L29" s="8" t="n">
        <f aca="false">SUMIFS('Stock Movements'!$E:$E,'Stock Movements'!$C:$C,$B29,'Stock Movements'!$D:$D,"In")</f>
        <v>15</v>
      </c>
      <c r="M29" s="8" t="n">
        <f aca="false">SUMIFS('Stock Movements'!$E:$E,'Stock Movements'!$C:$C,$B29,'Stock Movements'!$D:$D,"Out")</f>
        <v>6</v>
      </c>
      <c r="N29" s="8" t="n">
        <f aca="false">L29-M29</f>
        <v>9</v>
      </c>
      <c r="O29" s="9" t="str">
        <f aca="false">IF(N29&lt;=0,"Out",IF(AND(K29&lt;&gt;"",N29&lt;=K29),"Low","In Stock"))</f>
        <v>In Stock</v>
      </c>
      <c r="P29" s="7" t="n">
        <f aca="false">J29-I29</f>
        <v>29</v>
      </c>
    </row>
    <row r="30" customFormat="false" ht="15" hidden="false" customHeight="false" outlineLevel="0" collapsed="false">
      <c r="A30" s="6" t="s">
        <v>107</v>
      </c>
      <c r="B30" s="6" t="str">
        <f aca="false">A30&amp;" · "&amp;C30</f>
        <v>ITM-028 · HYDROSEP CTO 20SL ( QUARTERLY (2PC) FOR PURIFIED/MINERAL )</v>
      </c>
      <c r="C30" s="6" t="s">
        <v>108</v>
      </c>
      <c r="D30" s="6" t="s">
        <v>109</v>
      </c>
      <c r="E30" s="6" t="s">
        <v>96</v>
      </c>
      <c r="F30" s="6" t="s">
        <v>32</v>
      </c>
      <c r="G30" s="6"/>
      <c r="H30" s="6"/>
      <c r="I30" s="7" t="n">
        <v>620</v>
      </c>
      <c r="J30" s="7" t="n">
        <v>750</v>
      </c>
      <c r="K30" s="8"/>
      <c r="L30" s="8" t="n">
        <f aca="false">SUMIFS('Stock Movements'!$E:$E,'Stock Movements'!$C:$C,$B30,'Stock Movements'!$D:$D,"In")</f>
        <v>25</v>
      </c>
      <c r="M30" s="8" t="n">
        <f aca="false">SUMIFS('Stock Movements'!$E:$E,'Stock Movements'!$C:$C,$B30,'Stock Movements'!$D:$D,"Out")</f>
        <v>20</v>
      </c>
      <c r="N30" s="8" t="n">
        <f aca="false">L30-M30</f>
        <v>5</v>
      </c>
      <c r="O30" s="9" t="str">
        <f aca="false">IF(N30&lt;=0,"Out",IF(AND(K30&lt;&gt;"",N30&lt;=K30),"Low","In Stock"))</f>
        <v>In Stock</v>
      </c>
      <c r="P30" s="7" t="n">
        <f aca="false">J30-I30</f>
        <v>130</v>
      </c>
    </row>
    <row r="31" customFormat="false" ht="15" hidden="false" customHeight="false" outlineLevel="0" collapsed="false">
      <c r="A31" s="6" t="s">
        <v>110</v>
      </c>
      <c r="B31" s="6" t="str">
        <f aca="false">A31&amp;" · "&amp;C31</f>
        <v>ITM-029 · HYDROSEP CTO 10SL ( QUARTERLY (1PC) FOR ALKALINE )</v>
      </c>
      <c r="C31" s="6" t="s">
        <v>111</v>
      </c>
      <c r="D31" s="6" t="s">
        <v>112</v>
      </c>
      <c r="E31" s="6" t="s">
        <v>96</v>
      </c>
      <c r="F31" s="6" t="s">
        <v>32</v>
      </c>
      <c r="G31" s="6"/>
      <c r="H31" s="6"/>
      <c r="I31" s="7" t="n">
        <v>350</v>
      </c>
      <c r="J31" s="7" t="n">
        <v>400</v>
      </c>
      <c r="K31" s="8"/>
      <c r="L31" s="8" t="n">
        <f aca="false">SUMIFS('Stock Movements'!$E:$E,'Stock Movements'!$C:$C,$B31,'Stock Movements'!$D:$D,"In")</f>
        <v>10</v>
      </c>
      <c r="M31" s="8" t="n">
        <f aca="false">SUMIFS('Stock Movements'!$E:$E,'Stock Movements'!$C:$C,$B31,'Stock Movements'!$D:$D,"Out")</f>
        <v>6</v>
      </c>
      <c r="N31" s="8" t="n">
        <f aca="false">L31-M31</f>
        <v>4</v>
      </c>
      <c r="O31" s="9" t="str">
        <f aca="false">IF(N31&lt;=0,"Out",IF(AND(K31&lt;&gt;"",N31&lt;=K31),"Low","In Stock"))</f>
        <v>In Stock</v>
      </c>
      <c r="P31" s="7" t="n">
        <f aca="false">J31-I31</f>
        <v>50</v>
      </c>
    </row>
    <row r="32" customFormat="false" ht="15" hidden="false" customHeight="false" outlineLevel="0" collapsed="false">
      <c r="A32" s="6" t="s">
        <v>113</v>
      </c>
      <c r="B32" s="6" t="str">
        <f aca="false">A32&amp;" · "&amp;C32</f>
        <v>ITM-030 · CERAMIC FILTER 10SL ( QUARTERLY (1PC) FOR ALKALINE )</v>
      </c>
      <c r="C32" s="6" t="s">
        <v>114</v>
      </c>
      <c r="D32" s="6" t="s">
        <v>115</v>
      </c>
      <c r="E32" s="6" t="s">
        <v>96</v>
      </c>
      <c r="F32" s="6" t="s">
        <v>32</v>
      </c>
      <c r="G32" s="6"/>
      <c r="H32" s="6"/>
      <c r="I32" s="7" t="n">
        <v>500</v>
      </c>
      <c r="J32" s="7" t="n">
        <v>770</v>
      </c>
      <c r="K32" s="8"/>
      <c r="L32" s="8" t="n">
        <f aca="false">SUMIFS('Stock Movements'!$E:$E,'Stock Movements'!$C:$C,$B32,'Stock Movements'!$D:$D,"In")</f>
        <v>10</v>
      </c>
      <c r="M32" s="8" t="n">
        <f aca="false">SUMIFS('Stock Movements'!$E:$E,'Stock Movements'!$C:$C,$B32,'Stock Movements'!$D:$D,"Out")</f>
        <v>3</v>
      </c>
      <c r="N32" s="8" t="n">
        <f aca="false">L32-M32</f>
        <v>7</v>
      </c>
      <c r="O32" s="9" t="str">
        <f aca="false">IF(N32&lt;=0,"Out",IF(AND(K32&lt;&gt;"",N32&lt;=K32),"Low","In Stock"))</f>
        <v>In Stock</v>
      </c>
      <c r="P32" s="7" t="n">
        <f aca="false">J32-I32</f>
        <v>270</v>
      </c>
    </row>
    <row r="33" customFormat="false" ht="15" hidden="false" customHeight="false" outlineLevel="0" collapsed="false">
      <c r="A33" s="6" t="s">
        <v>116</v>
      </c>
      <c r="B33" s="6" t="str">
        <f aca="false">A33&amp;" · "&amp;C33</f>
        <v>ITM-031 · BIO FILTER 10SL ( QUARTERLY (1PC) FOR ALKALINE )</v>
      </c>
      <c r="C33" s="6" t="s">
        <v>117</v>
      </c>
      <c r="D33" s="6" t="s">
        <v>118</v>
      </c>
      <c r="E33" s="6" t="s">
        <v>96</v>
      </c>
      <c r="F33" s="6" t="s">
        <v>32</v>
      </c>
      <c r="G33" s="6"/>
      <c r="H33" s="6"/>
      <c r="I33" s="7" t="n">
        <v>1018</v>
      </c>
      <c r="J33" s="7" t="n">
        <v>1550</v>
      </c>
      <c r="K33" s="8"/>
      <c r="L33" s="8" t="n">
        <f aca="false">SUMIFS('Stock Movements'!$E:$E,'Stock Movements'!$C:$C,$B33,'Stock Movements'!$D:$D,"In")</f>
        <v>10</v>
      </c>
      <c r="M33" s="8" t="n">
        <f aca="false">SUMIFS('Stock Movements'!$E:$E,'Stock Movements'!$C:$C,$B33,'Stock Movements'!$D:$D,"Out")</f>
        <v>2</v>
      </c>
      <c r="N33" s="8" t="n">
        <f aca="false">L33-M33</f>
        <v>8</v>
      </c>
      <c r="O33" s="9" t="str">
        <f aca="false">IF(N33&lt;=0,"Out",IF(AND(K33&lt;&gt;"",N33&lt;=K33),"Low","In Stock"))</f>
        <v>In Stock</v>
      </c>
      <c r="P33" s="7" t="n">
        <f aca="false">J33-I33</f>
        <v>532</v>
      </c>
    </row>
    <row r="34" customFormat="false" ht="15" hidden="false" customHeight="false" outlineLevel="0" collapsed="false">
      <c r="A34" s="6" t="s">
        <v>119</v>
      </c>
      <c r="B34" s="6" t="str">
        <f aca="false">A34&amp;" · "&amp;C34</f>
        <v>ITM-032 · WOW 20" SLIM 5-MIC</v>
      </c>
      <c r="C34" s="6" t="s">
        <v>120</v>
      </c>
      <c r="D34" s="6"/>
      <c r="E34" s="6" t="s">
        <v>96</v>
      </c>
      <c r="F34" s="6" t="s">
        <v>32</v>
      </c>
      <c r="G34" s="6"/>
      <c r="H34" s="6"/>
      <c r="I34" s="7" t="n">
        <v>70</v>
      </c>
      <c r="J34" s="7" t="n">
        <v>90</v>
      </c>
      <c r="K34" s="8"/>
      <c r="L34" s="8" t="n">
        <f aca="false">SUMIFS('Stock Movements'!$E:$E,'Stock Movements'!$C:$C,$B34,'Stock Movements'!$D:$D,"In")</f>
        <v>25</v>
      </c>
      <c r="M34" s="8" t="n">
        <f aca="false">SUMIFS('Stock Movements'!$E:$E,'Stock Movements'!$C:$C,$B34,'Stock Movements'!$D:$D,"Out")</f>
        <v>10</v>
      </c>
      <c r="N34" s="8" t="n">
        <f aca="false">L34-M34</f>
        <v>15</v>
      </c>
      <c r="O34" s="9" t="str">
        <f aca="false">IF(N34&lt;=0,"Out",IF(AND(K34&lt;&gt;"",N34&lt;=K34),"Low","In Stock"))</f>
        <v>In Stock</v>
      </c>
      <c r="P34" s="7" t="n">
        <f aca="false">J34-I34</f>
        <v>20</v>
      </c>
    </row>
    <row r="35" customFormat="false" ht="15" hidden="false" customHeight="false" outlineLevel="0" collapsed="false">
      <c r="A35" s="6" t="s">
        <v>121</v>
      </c>
      <c r="B35" s="6" t="str">
        <f aca="false">A35&amp;" · "&amp;C35</f>
        <v>ITM-033 · WOW 20" SLIM 1-MIC</v>
      </c>
      <c r="C35" s="6" t="s">
        <v>122</v>
      </c>
      <c r="D35" s="6"/>
      <c r="E35" s="6" t="s">
        <v>96</v>
      </c>
      <c r="F35" s="6" t="s">
        <v>32</v>
      </c>
      <c r="G35" s="6"/>
      <c r="H35" s="6"/>
      <c r="I35" s="7" t="n">
        <v>70</v>
      </c>
      <c r="J35" s="7" t="n">
        <v>90</v>
      </c>
      <c r="K35" s="8"/>
      <c r="L35" s="8" t="n">
        <f aca="false">SUMIFS('Stock Movements'!$E:$E,'Stock Movements'!$C:$C,$B35,'Stock Movements'!$D:$D,"In")</f>
        <v>25</v>
      </c>
      <c r="M35" s="8" t="n">
        <f aca="false">SUMIFS('Stock Movements'!$E:$E,'Stock Movements'!$C:$C,$B35,'Stock Movements'!$D:$D,"Out")</f>
        <v>10</v>
      </c>
      <c r="N35" s="8" t="n">
        <f aca="false">L35-M35</f>
        <v>15</v>
      </c>
      <c r="O35" s="9" t="str">
        <f aca="false">IF(N35&lt;=0,"Out",IF(AND(K35&lt;&gt;"",N35&lt;=K35),"Low","In Stock"))</f>
        <v>In Stock</v>
      </c>
      <c r="P35" s="7" t="n">
        <f aca="false">J35-I35</f>
        <v>20</v>
      </c>
    </row>
    <row r="36" customFormat="false" ht="15" hidden="false" customHeight="false" outlineLevel="0" collapsed="false">
      <c r="A36" s="6" t="s">
        <v>123</v>
      </c>
      <c r="B36" s="6" t="str">
        <f aca="false">A36&amp;" · "&amp;C36</f>
        <v>ITM-034 · WOW 10" SLIM 1-MIC</v>
      </c>
      <c r="C36" s="6" t="s">
        <v>124</v>
      </c>
      <c r="D36" s="6"/>
      <c r="E36" s="6" t="s">
        <v>96</v>
      </c>
      <c r="F36" s="6" t="s">
        <v>32</v>
      </c>
      <c r="G36" s="6"/>
      <c r="H36" s="6"/>
      <c r="I36" s="7" t="n">
        <v>48</v>
      </c>
      <c r="J36" s="7" t="n">
        <v>50</v>
      </c>
      <c r="K36" s="8"/>
      <c r="L36" s="8" t="n">
        <f aca="false">SUMIFS('Stock Movements'!$E:$E,'Stock Movements'!$C:$C,$B36,'Stock Movements'!$D:$D,"In")</f>
        <v>25</v>
      </c>
      <c r="M36" s="8" t="n">
        <f aca="false">SUMIFS('Stock Movements'!$E:$E,'Stock Movements'!$C:$C,$B36,'Stock Movements'!$D:$D,"Out")</f>
        <v>0</v>
      </c>
      <c r="N36" s="8" t="n">
        <f aca="false">L36-M36</f>
        <v>25</v>
      </c>
      <c r="O36" s="9" t="str">
        <f aca="false">IF(N36&lt;=0,"Out",IF(AND(K36&lt;&gt;"",N36&lt;=K36),"Low","In Stock"))</f>
        <v>In Stock</v>
      </c>
      <c r="P36" s="7" t="n">
        <f aca="false">J36-I36</f>
        <v>2</v>
      </c>
    </row>
    <row r="37" customFormat="false" ht="15" hidden="false" customHeight="false" outlineLevel="0" collapsed="false">
      <c r="A37" s="6" t="s">
        <v>125</v>
      </c>
      <c r="B37" s="6" t="str">
        <f aca="false">A37&amp;" · "&amp;C37</f>
        <v>ITM-035 · UV LAMPS: UVC-PRO 6 GPM 14W</v>
      </c>
      <c r="C37" s="6" t="s">
        <v>126</v>
      </c>
      <c r="D37" s="6" t="s">
        <v>127</v>
      </c>
      <c r="E37" s="6" t="s">
        <v>96</v>
      </c>
      <c r="F37" s="6" t="s">
        <v>32</v>
      </c>
      <c r="G37" s="6"/>
      <c r="H37" s="6"/>
      <c r="I37" s="7" t="n">
        <v>1000</v>
      </c>
      <c r="J37" s="7"/>
      <c r="K37" s="8"/>
      <c r="L37" s="8" t="n">
        <f aca="false">SUMIFS('Stock Movements'!$E:$E,'Stock Movements'!$C:$C,$B37,'Stock Movements'!$D:$D,"In")</f>
        <v>4</v>
      </c>
      <c r="M37" s="8" t="n">
        <f aca="false">SUMIFS('Stock Movements'!$E:$E,'Stock Movements'!$C:$C,$B37,'Stock Movements'!$D:$D,"Out")</f>
        <v>0</v>
      </c>
      <c r="N37" s="8" t="n">
        <f aca="false">L37-M37</f>
        <v>4</v>
      </c>
      <c r="O37" s="9" t="str">
        <f aca="false">IF(N37&lt;=0,"Out",IF(AND(K37&lt;&gt;"",N37&lt;=K37),"Low","In Stock"))</f>
        <v>In Stock</v>
      </c>
      <c r="P37" s="7" t="n">
        <f aca="false">J37-I37</f>
        <v>-1000</v>
      </c>
    </row>
    <row r="38" customFormat="false" ht="15" hidden="false" customHeight="false" outlineLevel="0" collapsed="false">
      <c r="A38" s="6" t="s">
        <v>128</v>
      </c>
      <c r="B38" s="6" t="str">
        <f aca="false">A38&amp;" · "&amp;C38</f>
        <v>ITM-036 · 350 ML PET BOTTLE (WITH CAP)</v>
      </c>
      <c r="C38" s="6" t="s">
        <v>129</v>
      </c>
      <c r="D38" s="6" t="s">
        <v>130</v>
      </c>
      <c r="E38" s="6" t="s">
        <v>131</v>
      </c>
      <c r="F38" s="6" t="s">
        <v>132</v>
      </c>
      <c r="G38" s="6"/>
      <c r="H38" s="6"/>
      <c r="I38" s="7" t="n">
        <v>634</v>
      </c>
      <c r="J38" s="7" t="n">
        <v>860</v>
      </c>
      <c r="K38" s="8"/>
      <c r="L38" s="8" t="n">
        <f aca="false">SUMIFS('Stock Movements'!$E:$E,'Stock Movements'!$C:$C,$B38,'Stock Movements'!$D:$D,"In")</f>
        <v>32</v>
      </c>
      <c r="M38" s="8" t="n">
        <f aca="false">SUMIFS('Stock Movements'!$E:$E,'Stock Movements'!$C:$C,$B38,'Stock Movements'!$D:$D,"Out")</f>
        <v>23</v>
      </c>
      <c r="N38" s="8" t="n">
        <f aca="false">L38-M38</f>
        <v>9</v>
      </c>
      <c r="O38" s="9" t="str">
        <f aca="false">IF(N38&lt;=0,"Out",IF(AND(K38&lt;&gt;"",N38&lt;=K38),"Low","In Stock"))</f>
        <v>In Stock</v>
      </c>
      <c r="P38" s="7" t="n">
        <f aca="false">J38-I38</f>
        <v>226</v>
      </c>
    </row>
    <row r="39" customFormat="false" ht="15" hidden="false" customHeight="false" outlineLevel="0" collapsed="false">
      <c r="A39" s="6" t="s">
        <v>133</v>
      </c>
      <c r="B39" s="6" t="str">
        <f aca="false">A39&amp;" · "&amp;C39</f>
        <v>ITM-037 · 350 ML PET BOTTLE (WITH CAP)</v>
      </c>
      <c r="C39" s="6" t="s">
        <v>129</v>
      </c>
      <c r="D39" s="6" t="s">
        <v>130</v>
      </c>
      <c r="E39" s="6" t="s">
        <v>131</v>
      </c>
      <c r="F39" s="6" t="s">
        <v>134</v>
      </c>
      <c r="G39" s="6" t="s">
        <v>33</v>
      </c>
      <c r="H39" s="6"/>
      <c r="I39" s="7" t="n">
        <v>674</v>
      </c>
      <c r="J39" s="7" t="n">
        <v>900</v>
      </c>
      <c r="K39" s="8"/>
      <c r="L39" s="8" t="n">
        <f aca="false">SUMIFS('Stock Movements'!$E:$E,'Stock Movements'!$C:$C,$B39,'Stock Movements'!$D:$D,"In")</f>
        <v>15</v>
      </c>
      <c r="M39" s="8" t="n">
        <f aca="false">SUMIFS('Stock Movements'!$E:$E,'Stock Movements'!$C:$C,$B39,'Stock Movements'!$D:$D,"Out")</f>
        <v>15</v>
      </c>
      <c r="N39" s="8" t="n">
        <f aca="false">L39-M39</f>
        <v>0</v>
      </c>
      <c r="O39" s="9" t="str">
        <f aca="false">IF(N39&lt;=0,"Out",IF(AND(K39&lt;&gt;"",N39&lt;=K39),"Low","In Stock"))</f>
        <v>Out</v>
      </c>
      <c r="P39" s="7" t="n">
        <f aca="false">J39-I39</f>
        <v>226</v>
      </c>
    </row>
    <row r="40" customFormat="false" ht="15" hidden="false" customHeight="false" outlineLevel="0" collapsed="false">
      <c r="A40" s="6" t="s">
        <v>135</v>
      </c>
      <c r="B40" s="6" t="str">
        <f aca="false">A40&amp;" · "&amp;C40</f>
        <v>ITM-038 · 500 ML PET BOTTLE (WITH CAP)</v>
      </c>
      <c r="C40" s="6" t="s">
        <v>136</v>
      </c>
      <c r="D40" s="6" t="s">
        <v>137</v>
      </c>
      <c r="E40" s="6" t="s">
        <v>131</v>
      </c>
      <c r="F40" s="6" t="s">
        <v>138</v>
      </c>
      <c r="G40" s="6"/>
      <c r="H40" s="6"/>
      <c r="I40" s="7" t="n">
        <v>559</v>
      </c>
      <c r="J40" s="7" t="n">
        <v>760</v>
      </c>
      <c r="K40" s="8"/>
      <c r="L40" s="8" t="n">
        <f aca="false">SUMIFS('Stock Movements'!$E:$E,'Stock Movements'!$C:$C,$B40,'Stock Movements'!$D:$D,"In")</f>
        <v>10</v>
      </c>
      <c r="M40" s="8" t="n">
        <f aca="false">SUMIFS('Stock Movements'!$E:$E,'Stock Movements'!$C:$C,$B40,'Stock Movements'!$D:$D,"Out")</f>
        <v>4</v>
      </c>
      <c r="N40" s="8" t="n">
        <f aca="false">L40-M40</f>
        <v>6</v>
      </c>
      <c r="O40" s="9" t="str">
        <f aca="false">IF(N40&lt;=0,"Out",IF(AND(K40&lt;&gt;"",N40&lt;=K40),"Low","In Stock"))</f>
        <v>In Stock</v>
      </c>
      <c r="P40" s="7" t="n">
        <f aca="false">J40-I40</f>
        <v>201</v>
      </c>
    </row>
    <row r="41" customFormat="false" ht="15" hidden="false" customHeight="false" outlineLevel="0" collapsed="false">
      <c r="A41" s="6" t="s">
        <v>139</v>
      </c>
      <c r="B41" s="6" t="str">
        <f aca="false">A41&amp;" · "&amp;C41</f>
        <v>ITM-039 · 1000 ML PET BOTTLE (WITH CAP)</v>
      </c>
      <c r="C41" s="6" t="s">
        <v>140</v>
      </c>
      <c r="D41" s="6"/>
      <c r="E41" s="6" t="s">
        <v>131</v>
      </c>
      <c r="F41" s="6" t="s">
        <v>141</v>
      </c>
      <c r="G41" s="6"/>
      <c r="H41" s="6"/>
      <c r="I41" s="7" t="n">
        <v>552</v>
      </c>
      <c r="J41" s="7" t="n">
        <v>650</v>
      </c>
      <c r="K41" s="8"/>
      <c r="L41" s="8" t="n">
        <f aca="false">SUMIFS('Stock Movements'!$E:$E,'Stock Movements'!$C:$C,$B41,'Stock Movements'!$D:$D,"In")</f>
        <v>10</v>
      </c>
      <c r="M41" s="8" t="n">
        <f aca="false">SUMIFS('Stock Movements'!$E:$E,'Stock Movements'!$C:$C,$B41,'Stock Movements'!$D:$D,"Out")</f>
        <v>3</v>
      </c>
      <c r="N41" s="8" t="n">
        <f aca="false">L41-M41</f>
        <v>7</v>
      </c>
      <c r="O41" s="9" t="str">
        <f aca="false">IF(N41&lt;=0,"Out",IF(AND(K41&lt;&gt;"",N41&lt;=K41),"Low","In Stock"))</f>
        <v>In Stock</v>
      </c>
      <c r="P41" s="7" t="n">
        <f aca="false">J41-I41</f>
        <v>98</v>
      </c>
    </row>
    <row r="42" customFormat="false" ht="15" hidden="false" customHeight="false" outlineLevel="0" collapsed="false">
      <c r="A42" s="6" t="s">
        <v>142</v>
      </c>
      <c r="B42" s="6" t="str">
        <f aca="false">A42&amp;" · "&amp;C42</f>
        <v>ITM-040 · 350 ML LABEL SHRINKABLE LW</v>
      </c>
      <c r="C42" s="6" t="s">
        <v>143</v>
      </c>
      <c r="D42" s="6" t="s">
        <v>144</v>
      </c>
      <c r="E42" s="6" t="s">
        <v>145</v>
      </c>
      <c r="F42" s="6" t="s">
        <v>146</v>
      </c>
      <c r="G42" s="6"/>
      <c r="H42" s="6"/>
      <c r="I42" s="7" t="n">
        <v>280</v>
      </c>
      <c r="J42" s="7" t="n">
        <v>350</v>
      </c>
      <c r="K42" s="8"/>
      <c r="L42" s="8" t="n">
        <f aca="false">SUMIFS('Stock Movements'!$E:$E,'Stock Movements'!$C:$C,$B42,'Stock Movements'!$D:$D,"In")</f>
        <v>34</v>
      </c>
      <c r="M42" s="8" t="n">
        <f aca="false">SUMIFS('Stock Movements'!$E:$E,'Stock Movements'!$C:$C,$B42,'Stock Movements'!$D:$D,"Out")</f>
        <v>19</v>
      </c>
      <c r="N42" s="8" t="n">
        <f aca="false">L42-M42</f>
        <v>15</v>
      </c>
      <c r="O42" s="9" t="str">
        <f aca="false">IF(N42&lt;=0,"Out",IF(AND(K42&lt;&gt;"",N42&lt;=K42),"Low","In Stock"))</f>
        <v>In Stock</v>
      </c>
      <c r="P42" s="7" t="n">
        <f aca="false">J42-I42</f>
        <v>70</v>
      </c>
    </row>
    <row r="43" customFormat="false" ht="15" hidden="false" customHeight="false" outlineLevel="0" collapsed="false">
      <c r="A43" s="6" t="s">
        <v>147</v>
      </c>
      <c r="B43" s="6" t="str">
        <f aca="false">A43&amp;" · "&amp;C43</f>
        <v>ITM-041 · 500 ML LABEL SHRINKABLE LW</v>
      </c>
      <c r="C43" s="6" t="s">
        <v>148</v>
      </c>
      <c r="D43" s="6" t="s">
        <v>149</v>
      </c>
      <c r="E43" s="6" t="s">
        <v>145</v>
      </c>
      <c r="F43" s="6" t="s">
        <v>146</v>
      </c>
      <c r="G43" s="6"/>
      <c r="H43" s="6"/>
      <c r="I43" s="7" t="n">
        <v>320</v>
      </c>
      <c r="J43" s="7" t="n">
        <v>430</v>
      </c>
      <c r="K43" s="8"/>
      <c r="L43" s="8" t="n">
        <f aca="false">SUMIFS('Stock Movements'!$E:$E,'Stock Movements'!$C:$C,$B43,'Stock Movements'!$D:$D,"In")</f>
        <v>5</v>
      </c>
      <c r="M43" s="8" t="n">
        <f aca="false">SUMIFS('Stock Movements'!$E:$E,'Stock Movements'!$C:$C,$B43,'Stock Movements'!$D:$D,"Out")</f>
        <v>0</v>
      </c>
      <c r="N43" s="8" t="n">
        <f aca="false">L43-M43</f>
        <v>5</v>
      </c>
      <c r="O43" s="9" t="str">
        <f aca="false">IF(N43&lt;=0,"Out",IF(AND(K43&lt;&gt;"",N43&lt;=K43),"Low","In Stock"))</f>
        <v>In Stock</v>
      </c>
      <c r="P43" s="7" t="n">
        <f aca="false">J43-I43</f>
        <v>110</v>
      </c>
    </row>
    <row r="44" customFormat="false" ht="15" hidden="false" customHeight="false" outlineLevel="0" collapsed="false">
      <c r="A44" s="6" t="s">
        <v>150</v>
      </c>
      <c r="B44" s="6" t="str">
        <f aca="false">A44&amp;" · "&amp;C44</f>
        <v>ITM-042 · 1000 ML LABEL SHRINKABLE LW</v>
      </c>
      <c r="C44" s="6" t="s">
        <v>151</v>
      </c>
      <c r="D44" s="6" t="s">
        <v>152</v>
      </c>
      <c r="E44" s="6" t="s">
        <v>145</v>
      </c>
      <c r="F44" s="6" t="s">
        <v>146</v>
      </c>
      <c r="G44" s="6"/>
      <c r="H44" s="6"/>
      <c r="I44" s="7" t="n">
        <v>385</v>
      </c>
      <c r="J44" s="7" t="n">
        <v>480</v>
      </c>
      <c r="K44" s="8"/>
      <c r="L44" s="8" t="n">
        <f aca="false">SUMIFS('Stock Movements'!$E:$E,'Stock Movements'!$C:$C,$B44,'Stock Movements'!$D:$D,"In")</f>
        <v>5</v>
      </c>
      <c r="M44" s="8" t="n">
        <f aca="false">SUMIFS('Stock Movements'!$E:$E,'Stock Movements'!$C:$C,$B44,'Stock Movements'!$D:$D,"Out")</f>
        <v>1</v>
      </c>
      <c r="N44" s="8" t="n">
        <f aca="false">L44-M44</f>
        <v>4</v>
      </c>
      <c r="O44" s="9" t="str">
        <f aca="false">IF(N44&lt;=0,"Out",IF(AND(K44&lt;&gt;"",N44&lt;=K44),"Low","In Stock"))</f>
        <v>In Stock</v>
      </c>
      <c r="P44" s="7" t="n">
        <f aca="false">J44-I44</f>
        <v>95</v>
      </c>
    </row>
    <row r="45" customFormat="false" ht="15" hidden="false" customHeight="false" outlineLevel="0" collapsed="false">
      <c r="A45" s="6" t="s">
        <v>153</v>
      </c>
      <c r="B45" s="6" t="str">
        <f aca="false">A45&amp;" · "&amp;C45</f>
        <v>ITM-043 · 350 ML LABEL SHRINKABLE REFRESHING</v>
      </c>
      <c r="C45" s="6" t="s">
        <v>154</v>
      </c>
      <c r="D45" s="6" t="s">
        <v>155</v>
      </c>
      <c r="E45" s="6" t="s">
        <v>145</v>
      </c>
      <c r="F45" s="6" t="s">
        <v>146</v>
      </c>
      <c r="G45" s="6"/>
      <c r="H45" s="6"/>
      <c r="I45" s="7" t="n">
        <v>188</v>
      </c>
      <c r="J45" s="7" t="n">
        <v>280</v>
      </c>
      <c r="K45" s="8"/>
      <c r="L45" s="8" t="n">
        <f aca="false">SUMIFS('Stock Movements'!$E:$E,'Stock Movements'!$C:$C,$B45,'Stock Movements'!$D:$D,"In")</f>
        <v>10</v>
      </c>
      <c r="M45" s="8" t="n">
        <f aca="false">SUMIFS('Stock Movements'!$E:$E,'Stock Movements'!$C:$C,$B45,'Stock Movements'!$D:$D,"Out")</f>
        <v>2</v>
      </c>
      <c r="N45" s="8" t="n">
        <f aca="false">L45-M45</f>
        <v>8</v>
      </c>
      <c r="O45" s="9" t="str">
        <f aca="false">IF(N45&lt;=0,"Out",IF(AND(K45&lt;&gt;"",N45&lt;=K45),"Low","In Stock"))</f>
        <v>In Stock</v>
      </c>
      <c r="P45" s="7" t="n">
        <f aca="false">J45-I45</f>
        <v>92</v>
      </c>
    </row>
    <row r="46" customFormat="false" ht="15" hidden="false" customHeight="false" outlineLevel="0" collapsed="false">
      <c r="A46" s="6" t="s">
        <v>156</v>
      </c>
      <c r="B46" s="6" t="str">
        <f aca="false">A46&amp;" · "&amp;C46</f>
        <v>ITM-044 · 500 ML LABEL SHRINKABLE REFRESHING</v>
      </c>
      <c r="C46" s="6" t="s">
        <v>157</v>
      </c>
      <c r="D46" s="6" t="s">
        <v>158</v>
      </c>
      <c r="E46" s="6" t="s">
        <v>145</v>
      </c>
      <c r="F46" s="6" t="s">
        <v>146</v>
      </c>
      <c r="G46" s="6"/>
      <c r="H46" s="6"/>
      <c r="I46" s="7" t="n">
        <v>217</v>
      </c>
      <c r="J46" s="7" t="n">
        <v>295</v>
      </c>
      <c r="K46" s="8"/>
      <c r="L46" s="8" t="n">
        <f aca="false">SUMIFS('Stock Movements'!$E:$E,'Stock Movements'!$C:$C,$B46,'Stock Movements'!$D:$D,"In")</f>
        <v>5</v>
      </c>
      <c r="M46" s="8" t="n">
        <f aca="false">SUMIFS('Stock Movements'!$E:$E,'Stock Movements'!$C:$C,$B46,'Stock Movements'!$D:$D,"Out")</f>
        <v>0</v>
      </c>
      <c r="N46" s="8" t="n">
        <f aca="false">L46-M46</f>
        <v>5</v>
      </c>
      <c r="O46" s="9" t="str">
        <f aca="false">IF(N46&lt;=0,"Out",IF(AND(K46&lt;&gt;"",N46&lt;=K46),"Low","In Stock"))</f>
        <v>In Stock</v>
      </c>
      <c r="P46" s="7" t="n">
        <f aca="false">J46-I46</f>
        <v>78</v>
      </c>
    </row>
    <row r="47" customFormat="false" ht="15" hidden="false" customHeight="false" outlineLevel="0" collapsed="false">
      <c r="A47" s="6" t="s">
        <v>159</v>
      </c>
      <c r="B47" s="6" t="str">
        <f aca="false">A47&amp;" · "&amp;C47</f>
        <v>ITM-045 · STICKER LW WITH PIOLO - 5 GAL 6X4</v>
      </c>
      <c r="C47" s="6" t="s">
        <v>160</v>
      </c>
      <c r="D47" s="6" t="s">
        <v>161</v>
      </c>
      <c r="E47" s="6" t="s">
        <v>162</v>
      </c>
      <c r="F47" s="6" t="s">
        <v>163</v>
      </c>
      <c r="G47" s="6"/>
      <c r="H47" s="6"/>
      <c r="I47" s="7" t="n">
        <v>400</v>
      </c>
      <c r="J47" s="7" t="n">
        <v>500</v>
      </c>
      <c r="K47" s="8"/>
      <c r="L47" s="8" t="n">
        <f aca="false">SUMIFS('Stock Movements'!$E:$E,'Stock Movements'!$C:$C,$B47,'Stock Movements'!$D:$D,"In")</f>
        <v>11</v>
      </c>
      <c r="M47" s="8" t="n">
        <f aca="false">SUMIFS('Stock Movements'!$E:$E,'Stock Movements'!$C:$C,$B47,'Stock Movements'!$D:$D,"Out")</f>
        <v>2</v>
      </c>
      <c r="N47" s="8" t="n">
        <f aca="false">L47-M47</f>
        <v>9</v>
      </c>
      <c r="O47" s="9" t="str">
        <f aca="false">IF(N47&lt;=0,"Out",IF(AND(K47&lt;&gt;"",N47&lt;=K47),"Low","In Stock"))</f>
        <v>In Stock</v>
      </c>
      <c r="P47" s="7" t="n">
        <f aca="false">J47-I47</f>
        <v>100</v>
      </c>
    </row>
    <row r="48" customFormat="false" ht="15" hidden="false" customHeight="false" outlineLevel="0" collapsed="false">
      <c r="A48" s="6" t="s">
        <v>164</v>
      </c>
      <c r="B48" s="6" t="str">
        <f aca="false">A48&amp;" · "&amp;C48</f>
        <v>ITM-046 · BIG CAP REPLACEMENT - 5 GAL SLIM</v>
      </c>
      <c r="C48" s="6" t="s">
        <v>165</v>
      </c>
      <c r="D48" s="6" t="s">
        <v>166</v>
      </c>
      <c r="E48" s="6" t="s">
        <v>167</v>
      </c>
      <c r="F48" s="6" t="s">
        <v>32</v>
      </c>
      <c r="G48" s="6"/>
      <c r="H48" s="6"/>
      <c r="I48" s="7" t="n">
        <v>10</v>
      </c>
      <c r="J48" s="7" t="n">
        <v>15</v>
      </c>
      <c r="K48" s="8"/>
      <c r="L48" s="8" t="n">
        <f aca="false">SUMIFS('Stock Movements'!$E:$E,'Stock Movements'!$C:$C,$B48,'Stock Movements'!$D:$D,"In")</f>
        <v>500</v>
      </c>
      <c r="M48" s="8" t="n">
        <f aca="false">SUMIFS('Stock Movements'!$E:$E,'Stock Movements'!$C:$C,$B48,'Stock Movements'!$D:$D,"Out")</f>
        <v>259</v>
      </c>
      <c r="N48" s="8" t="n">
        <f aca="false">L48-M48</f>
        <v>241</v>
      </c>
      <c r="O48" s="9" t="str">
        <f aca="false">IF(N48&lt;=0,"Out",IF(AND(K48&lt;&gt;"",N48&lt;=K48),"Low","In Stock"))</f>
        <v>In Stock</v>
      </c>
      <c r="P48" s="7" t="n">
        <f aca="false">J48-I48</f>
        <v>5</v>
      </c>
    </row>
    <row r="49" customFormat="false" ht="15" hidden="false" customHeight="false" outlineLevel="0" collapsed="false">
      <c r="A49" s="6" t="s">
        <v>168</v>
      </c>
      <c r="B49" s="6" t="str">
        <f aca="false">A49&amp;" · "&amp;C49</f>
        <v>ITM-047 · SMALL CAP REPLACEMENT - 5 GAL SLIM</v>
      </c>
      <c r="C49" s="6" t="s">
        <v>169</v>
      </c>
      <c r="D49" s="6" t="s">
        <v>170</v>
      </c>
      <c r="E49" s="6" t="s">
        <v>167</v>
      </c>
      <c r="F49" s="6" t="s">
        <v>32</v>
      </c>
      <c r="G49" s="6"/>
      <c r="H49" s="6"/>
      <c r="I49" s="7" t="n">
        <v>3</v>
      </c>
      <c r="J49" s="7" t="n">
        <v>5</v>
      </c>
      <c r="K49" s="8"/>
      <c r="L49" s="8" t="n">
        <f aca="false">SUMIFS('Stock Movements'!$E:$E,'Stock Movements'!$C:$C,$B49,'Stock Movements'!$D:$D,"In")</f>
        <v>1500</v>
      </c>
      <c r="M49" s="8" t="n">
        <f aca="false">SUMIFS('Stock Movements'!$E:$E,'Stock Movements'!$C:$C,$B49,'Stock Movements'!$D:$D,"Out")</f>
        <v>389</v>
      </c>
      <c r="N49" s="8" t="n">
        <f aca="false">L49-M49</f>
        <v>1111</v>
      </c>
      <c r="O49" s="9" t="str">
        <f aca="false">IF(N49&lt;=0,"Out",IF(AND(K49&lt;&gt;"",N49&lt;=K49),"Low","In Stock"))</f>
        <v>In Stock</v>
      </c>
      <c r="P49" s="7" t="n">
        <f aca="false">J49-I49</f>
        <v>2</v>
      </c>
    </row>
    <row r="50" customFormat="false" ht="15" hidden="false" customHeight="false" outlineLevel="0" collapsed="false">
      <c r="A50" s="6" t="s">
        <v>171</v>
      </c>
      <c r="B50" s="6" t="str">
        <f aca="false">A50&amp;" · "&amp;C50</f>
        <v>ITM-048 · FAUCET REPLACEMENT - 5 GAL SLIM</v>
      </c>
      <c r="C50" s="6" t="s">
        <v>172</v>
      </c>
      <c r="D50" s="6" t="s">
        <v>173</v>
      </c>
      <c r="E50" s="6" t="s">
        <v>167</v>
      </c>
      <c r="F50" s="6" t="s">
        <v>32</v>
      </c>
      <c r="G50" s="6"/>
      <c r="H50" s="6"/>
      <c r="I50" s="7" t="n">
        <v>22</v>
      </c>
      <c r="J50" s="7" t="n">
        <v>30</v>
      </c>
      <c r="K50" s="8"/>
      <c r="L50" s="8" t="n">
        <f aca="false">SUMIFS('Stock Movements'!$E:$E,'Stock Movements'!$C:$C,$B50,'Stock Movements'!$D:$D,"In")</f>
        <v>500</v>
      </c>
      <c r="M50" s="8" t="n">
        <f aca="false">SUMIFS('Stock Movements'!$E:$E,'Stock Movements'!$C:$C,$B50,'Stock Movements'!$D:$D,"Out")</f>
        <v>2</v>
      </c>
      <c r="N50" s="8" t="n">
        <f aca="false">L50-M50</f>
        <v>498</v>
      </c>
      <c r="O50" s="9" t="str">
        <f aca="false">IF(N50&lt;=0,"Out",IF(AND(K50&lt;&gt;"",N50&lt;=K50),"Low","In Stock"))</f>
        <v>In Stock</v>
      </c>
      <c r="P50" s="7" t="n">
        <f aca="false">J50-I50</f>
        <v>8</v>
      </c>
    </row>
    <row r="51" customFormat="false" ht="15" hidden="false" customHeight="false" outlineLevel="0" collapsed="false">
      <c r="A51" s="6" t="s">
        <v>174</v>
      </c>
      <c r="B51" s="6" t="str">
        <f aca="false">A51&amp;" · "&amp;C51</f>
        <v>ITM-049 · WHITE CAP REPLACEMENT - 5 GAL SLIM</v>
      </c>
      <c r="C51" s="6" t="s">
        <v>175</v>
      </c>
      <c r="D51" s="6" t="s">
        <v>176</v>
      </c>
      <c r="E51" s="6" t="s">
        <v>167</v>
      </c>
      <c r="F51" s="6" t="s">
        <v>32</v>
      </c>
      <c r="G51" s="6"/>
      <c r="H51" s="6"/>
      <c r="I51" s="7" t="n">
        <v>8</v>
      </c>
      <c r="J51" s="7" t="n">
        <v>10</v>
      </c>
      <c r="K51" s="8"/>
      <c r="L51" s="8" t="n">
        <f aca="false">SUMIFS('Stock Movements'!$E:$E,'Stock Movements'!$C:$C,$B51,'Stock Movements'!$D:$D,"In")</f>
        <v>500</v>
      </c>
      <c r="M51" s="8" t="n">
        <f aca="false">SUMIFS('Stock Movements'!$E:$E,'Stock Movements'!$C:$C,$B51,'Stock Movements'!$D:$D,"Out")</f>
        <v>100</v>
      </c>
      <c r="N51" s="8" t="n">
        <f aca="false">L51-M51</f>
        <v>400</v>
      </c>
      <c r="O51" s="9" t="str">
        <f aca="false">IF(N51&lt;=0,"Out",IF(AND(K51&lt;&gt;"",N51&lt;=K51),"Low","In Stock"))</f>
        <v>In Stock</v>
      </c>
      <c r="P51" s="7" t="n">
        <f aca="false">J51-I51</f>
        <v>2</v>
      </c>
    </row>
    <row r="52" customFormat="false" ht="15" hidden="false" customHeight="false" outlineLevel="0" collapsed="false">
      <c r="A52" s="6" t="s">
        <v>177</v>
      </c>
      <c r="B52" s="6" t="str">
        <f aca="false">A52&amp;" · "&amp;C52</f>
        <v>ITM-050 · CAP NON SPILL T-BACK - 5 GAL PET ROUND</v>
      </c>
      <c r="C52" s="6" t="s">
        <v>178</v>
      </c>
      <c r="D52" s="6" t="s">
        <v>179</v>
      </c>
      <c r="E52" s="6" t="s">
        <v>167</v>
      </c>
      <c r="F52" s="6" t="s">
        <v>32</v>
      </c>
      <c r="G52" s="6"/>
      <c r="H52" s="6"/>
      <c r="I52" s="7" t="n">
        <v>1.5</v>
      </c>
      <c r="J52" s="7" t="n">
        <v>4</v>
      </c>
      <c r="K52" s="8"/>
      <c r="L52" s="8" t="n">
        <f aca="false">SUMIFS('Stock Movements'!$E:$E,'Stock Movements'!$C:$C,$B52,'Stock Movements'!$D:$D,"In")</f>
        <v>500</v>
      </c>
      <c r="M52" s="8" t="n">
        <f aca="false">SUMIFS('Stock Movements'!$E:$E,'Stock Movements'!$C:$C,$B52,'Stock Movements'!$D:$D,"Out")</f>
        <v>32</v>
      </c>
      <c r="N52" s="8" t="n">
        <f aca="false">L52-M52</f>
        <v>468</v>
      </c>
      <c r="O52" s="9" t="str">
        <f aca="false">IF(N52&lt;=0,"Out",IF(AND(K52&lt;&gt;"",N52&lt;=K52),"Low","In Stock"))</f>
        <v>In Stock</v>
      </c>
      <c r="P52" s="7" t="n">
        <f aca="false">J52-I52</f>
        <v>2.5</v>
      </c>
    </row>
    <row r="53" customFormat="false" ht="15" hidden="false" customHeight="false" outlineLevel="0" collapsed="false">
      <c r="A53" s="6" t="s">
        <v>180</v>
      </c>
      <c r="B53" s="6" t="str">
        <f aca="false">A53&amp;" · "&amp;C53</f>
        <v>ITM-051 · HOT AND COLD LIVINGWATER</v>
      </c>
      <c r="C53" s="6" t="s">
        <v>181</v>
      </c>
      <c r="D53" s="6" t="s">
        <v>182</v>
      </c>
      <c r="E53" s="6" t="s">
        <v>183</v>
      </c>
      <c r="F53" s="6" t="s">
        <v>32</v>
      </c>
      <c r="G53" s="6"/>
      <c r="H53" s="6"/>
      <c r="I53" s="7" t="n">
        <v>3700</v>
      </c>
      <c r="J53" s="7" t="n">
        <v>4100</v>
      </c>
      <c r="K53" s="8"/>
      <c r="L53" s="8" t="n">
        <f aca="false">SUMIFS('Stock Movements'!$E:$E,'Stock Movements'!$C:$C,$B53,'Stock Movements'!$D:$D,"In")</f>
        <v>2</v>
      </c>
      <c r="M53" s="8" t="n">
        <f aca="false">SUMIFS('Stock Movements'!$E:$E,'Stock Movements'!$C:$C,$B53,'Stock Movements'!$D:$D,"Out")</f>
        <v>0</v>
      </c>
      <c r="N53" s="8" t="n">
        <f aca="false">L53-M53</f>
        <v>2</v>
      </c>
      <c r="O53" s="9" t="str">
        <f aca="false">IF(N53&lt;=0,"Out",IF(AND(K53&lt;&gt;"",N53&lt;=K53),"Low","In Stock"))</f>
        <v>In Stock</v>
      </c>
      <c r="P53" s="7" t="n">
        <f aca="false">J53-I53</f>
        <v>400</v>
      </c>
    </row>
  </sheetData>
  <mergeCells count="1">
    <mergeCell ref="A1:P1"/>
  </mergeCells>
  <conditionalFormatting sqref="G3:G53">
    <cfRule type="expression" priority="2" aboveAverage="0" equalAverage="0" bottom="0" percent="0" rank="0" text="" dxfId="0">
      <formula>EXACT(G3,"SOLD")</formula>
    </cfRule>
    <cfRule type="expression" priority="3" aboveAverage="0" equalAverage="0" bottom="0" percent="0" rank="0" text="" dxfId="1">
      <formula>EXACT(G3,"NEW BATCH")</formula>
    </cfRule>
  </conditionalFormatting>
  <conditionalFormatting sqref="O3:O53">
    <cfRule type="expression" priority="4" aboveAverage="0" equalAverage="0" bottom="0" percent="0" rank="0" text="" dxfId="2">
      <formula>$O3="In Stock"</formula>
    </cfRule>
    <cfRule type="expression" priority="5" aboveAverage="0" equalAverage="0" bottom="0" percent="0" rank="0" text="" dxfId="3">
      <formula>$O3="Low"</formula>
    </cfRule>
    <cfRule type="expression" priority="6" aboveAverage="0" equalAverage="0" bottom="0" percent="0" rank="0" text="" dxfId="4">
      <formula>$O3="Out"</formula>
    </cfRule>
  </conditionalFormatting>
  <dataValidations count="2">
    <dataValidation allowBlank="true" errorStyle="stop" operator="between" showDropDown="false" showErrorMessage="false" showInputMessage="false" sqref="E3:E53" type="list">
      <formula1>Categories!$A$3:$A$12</formula1>
      <formula2>0</formula2>
    </dataValidation>
    <dataValidation allowBlank="true" errorStyle="stop" operator="between" showDropDown="false" showErrorMessage="false" showInputMessage="false" sqref="G3:G53" type="list">
      <formula1>"SOLD,NEW BATCH,"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0"/>
    <col collapsed="false" customWidth="true" hidden="false" outlineLevel="0" max="5" min="4" style="0" width="10"/>
    <col collapsed="false" customWidth="true" hidden="false" outlineLevel="0" max="6" min="6" style="0" width="22"/>
    <col collapsed="false" customWidth="true" hidden="false" outlineLevel="0" max="7" min="7" style="0" width="17"/>
    <col collapsed="false" customWidth="true" hidden="false" outlineLevel="0" max="8" min="8" style="0" width="32"/>
    <col collapsed="false" customWidth="true" hidden="false" outlineLevel="0" max="9" min="9" style="0" width="45"/>
  </cols>
  <sheetData>
    <row r="1" customFormat="false" ht="25.5" hidden="false" customHeight="true" outlineLevel="0" collapsed="false">
      <c r="A1" s="1" t="s">
        <v>184</v>
      </c>
      <c r="B1" s="1"/>
      <c r="C1" s="1"/>
      <c r="D1" s="1"/>
      <c r="E1" s="1"/>
      <c r="F1" s="1"/>
      <c r="G1" s="1"/>
      <c r="H1" s="1"/>
      <c r="I1" s="1"/>
    </row>
    <row r="2" customFormat="false" ht="15" hidden="false" customHeight="false" outlineLevel="0" collapsed="false">
      <c r="A2" s="5" t="s">
        <v>185</v>
      </c>
      <c r="B2" s="5" t="s">
        <v>186</v>
      </c>
      <c r="C2" s="5" t="s">
        <v>13</v>
      </c>
      <c r="D2" s="5" t="s">
        <v>187</v>
      </c>
      <c r="E2" s="5" t="s">
        <v>188</v>
      </c>
      <c r="F2" s="5" t="s">
        <v>189</v>
      </c>
      <c r="G2" s="5" t="s">
        <v>190</v>
      </c>
      <c r="H2" s="5" t="s">
        <v>191</v>
      </c>
      <c r="I2" s="5" t="s">
        <v>192</v>
      </c>
    </row>
    <row r="3" customFormat="false" ht="15" hidden="false" customHeight="false" outlineLevel="0" collapsed="false">
      <c r="A3" s="6" t="s">
        <v>193</v>
      </c>
      <c r="B3" s="6" t="s">
        <v>194</v>
      </c>
      <c r="C3" s="9" t="str">
        <f aca="false">'Item Catalog'!$B$3</f>
        <v>ITM-001 · 5 GAL SLIM CONTAINER W/ CAP BLUE</v>
      </c>
      <c r="D3" s="6" t="s">
        <v>195</v>
      </c>
      <c r="E3" s="6" t="n">
        <v>526</v>
      </c>
      <c r="F3" s="9"/>
      <c r="G3" s="6" t="s">
        <v>196</v>
      </c>
      <c r="H3" s="6" t="s">
        <v>197</v>
      </c>
      <c r="I3" s="6" t="s">
        <v>198</v>
      </c>
    </row>
    <row r="4" customFormat="false" ht="15" hidden="false" customHeight="false" outlineLevel="0" collapsed="false">
      <c r="A4" s="6" t="s">
        <v>199</v>
      </c>
      <c r="B4" s="6" t="s">
        <v>194</v>
      </c>
      <c r="C4" s="9" t="str">
        <f aca="false">'Item Catalog'!$B$3</f>
        <v>ITM-001 · 5 GAL SLIM CONTAINER W/ CAP BLUE</v>
      </c>
      <c r="D4" s="6" t="s">
        <v>200</v>
      </c>
      <c r="E4" s="6" t="n">
        <v>87</v>
      </c>
      <c r="F4" s="9" t="s">
        <v>201</v>
      </c>
      <c r="G4" s="6" t="s">
        <v>196</v>
      </c>
      <c r="H4" s="6" t="s">
        <v>202</v>
      </c>
      <c r="I4" s="6" t="s">
        <v>198</v>
      </c>
    </row>
    <row r="5" customFormat="false" ht="15" hidden="false" customHeight="false" outlineLevel="0" collapsed="false">
      <c r="A5" s="6" t="s">
        <v>203</v>
      </c>
      <c r="B5" s="6" t="s">
        <v>194</v>
      </c>
      <c r="C5" s="9" t="str">
        <f aca="false">'Item Catalog'!$B$3</f>
        <v>ITM-001 · 5 GAL SLIM CONTAINER W/ CAP BLUE</v>
      </c>
      <c r="D5" s="6" t="s">
        <v>200</v>
      </c>
      <c r="E5" s="6" t="n">
        <v>55</v>
      </c>
      <c r="F5" s="9" t="s">
        <v>204</v>
      </c>
      <c r="G5" s="6" t="s">
        <v>196</v>
      </c>
      <c r="H5" s="6" t="s">
        <v>202</v>
      </c>
      <c r="I5" s="6" t="s">
        <v>198</v>
      </c>
    </row>
    <row r="6" customFormat="false" ht="15" hidden="false" customHeight="false" outlineLevel="0" collapsed="false">
      <c r="A6" s="6" t="s">
        <v>205</v>
      </c>
      <c r="B6" s="6" t="s">
        <v>194</v>
      </c>
      <c r="C6" s="9" t="str">
        <f aca="false">'Item Catalog'!$B$3</f>
        <v>ITM-001 · 5 GAL SLIM CONTAINER W/ CAP BLUE</v>
      </c>
      <c r="D6" s="6" t="s">
        <v>200</v>
      </c>
      <c r="E6" s="6" t="n">
        <v>100</v>
      </c>
      <c r="F6" s="9" t="s">
        <v>206</v>
      </c>
      <c r="G6" s="6" t="s">
        <v>196</v>
      </c>
      <c r="H6" s="6" t="s">
        <v>202</v>
      </c>
      <c r="I6" s="6" t="s">
        <v>198</v>
      </c>
    </row>
    <row r="7" customFormat="false" ht="15" hidden="false" customHeight="false" outlineLevel="0" collapsed="false">
      <c r="A7" s="6" t="s">
        <v>207</v>
      </c>
      <c r="B7" s="6" t="s">
        <v>194</v>
      </c>
      <c r="C7" s="9" t="str">
        <f aca="false">'Item Catalog'!$B$3</f>
        <v>ITM-001 · 5 GAL SLIM CONTAINER W/ CAP BLUE</v>
      </c>
      <c r="D7" s="6" t="s">
        <v>200</v>
      </c>
      <c r="E7" s="6" t="n">
        <v>60</v>
      </c>
      <c r="F7" s="9" t="s">
        <v>208</v>
      </c>
      <c r="G7" s="6" t="s">
        <v>196</v>
      </c>
      <c r="H7" s="6" t="s">
        <v>202</v>
      </c>
      <c r="I7" s="6" t="s">
        <v>198</v>
      </c>
    </row>
    <row r="8" customFormat="false" ht="15" hidden="false" customHeight="false" outlineLevel="0" collapsed="false">
      <c r="A8" s="6" t="s">
        <v>209</v>
      </c>
      <c r="B8" s="6" t="s">
        <v>194</v>
      </c>
      <c r="C8" s="9" t="str">
        <f aca="false">'Item Catalog'!$B$3</f>
        <v>ITM-001 · 5 GAL SLIM CONTAINER W/ CAP BLUE</v>
      </c>
      <c r="D8" s="6" t="s">
        <v>200</v>
      </c>
      <c r="E8" s="6" t="n">
        <v>19</v>
      </c>
      <c r="F8" s="9" t="s">
        <v>210</v>
      </c>
      <c r="G8" s="6" t="s">
        <v>196</v>
      </c>
      <c r="H8" s="6" t="s">
        <v>202</v>
      </c>
      <c r="I8" s="6" t="s">
        <v>198</v>
      </c>
    </row>
    <row r="9" customFormat="false" ht="15" hidden="false" customHeight="false" outlineLevel="0" collapsed="false">
      <c r="A9" s="6" t="s">
        <v>211</v>
      </c>
      <c r="B9" s="6" t="s">
        <v>194</v>
      </c>
      <c r="C9" s="9" t="str">
        <f aca="false">'Item Catalog'!$B$3</f>
        <v>ITM-001 · 5 GAL SLIM CONTAINER W/ CAP BLUE</v>
      </c>
      <c r="D9" s="6" t="s">
        <v>200</v>
      </c>
      <c r="E9" s="6" t="n">
        <v>58</v>
      </c>
      <c r="F9" s="9" t="s">
        <v>212</v>
      </c>
      <c r="G9" s="6" t="s">
        <v>196</v>
      </c>
      <c r="H9" s="6" t="s">
        <v>202</v>
      </c>
      <c r="I9" s="6" t="s">
        <v>198</v>
      </c>
    </row>
    <row r="10" customFormat="false" ht="15" hidden="false" customHeight="false" outlineLevel="0" collapsed="false">
      <c r="A10" s="6" t="s">
        <v>213</v>
      </c>
      <c r="B10" s="6" t="s">
        <v>194</v>
      </c>
      <c r="C10" s="9" t="str">
        <f aca="false">'Item Catalog'!$B$3</f>
        <v>ITM-001 · 5 GAL SLIM CONTAINER W/ CAP BLUE</v>
      </c>
      <c r="D10" s="6" t="s">
        <v>200</v>
      </c>
      <c r="E10" s="6" t="n">
        <v>59</v>
      </c>
      <c r="F10" s="9" t="s">
        <v>214</v>
      </c>
      <c r="G10" s="6" t="s">
        <v>196</v>
      </c>
      <c r="H10" s="6" t="s">
        <v>202</v>
      </c>
      <c r="I10" s="6" t="s">
        <v>198</v>
      </c>
    </row>
    <row r="11" customFormat="false" ht="15" hidden="false" customHeight="false" outlineLevel="0" collapsed="false">
      <c r="A11" s="6" t="s">
        <v>215</v>
      </c>
      <c r="B11" s="6" t="s">
        <v>194</v>
      </c>
      <c r="C11" s="9" t="str">
        <f aca="false">'Item Catalog'!$B$3</f>
        <v>ITM-001 · 5 GAL SLIM CONTAINER W/ CAP BLUE</v>
      </c>
      <c r="D11" s="6" t="s">
        <v>200</v>
      </c>
      <c r="E11" s="6" t="n">
        <v>28</v>
      </c>
      <c r="F11" s="9" t="s">
        <v>216</v>
      </c>
      <c r="G11" s="6" t="s">
        <v>196</v>
      </c>
      <c r="H11" s="6" t="s">
        <v>202</v>
      </c>
      <c r="I11" s="6" t="s">
        <v>198</v>
      </c>
    </row>
    <row r="12" customFormat="false" ht="15" hidden="false" customHeight="false" outlineLevel="0" collapsed="false">
      <c r="A12" s="6" t="s">
        <v>217</v>
      </c>
      <c r="B12" s="6" t="s">
        <v>194</v>
      </c>
      <c r="C12" s="9" t="str">
        <f aca="false">'Item Catalog'!$B$3</f>
        <v>ITM-001 · 5 GAL SLIM CONTAINER W/ CAP BLUE</v>
      </c>
      <c r="D12" s="6" t="s">
        <v>200</v>
      </c>
      <c r="E12" s="6" t="n">
        <v>25</v>
      </c>
      <c r="F12" s="9" t="s">
        <v>218</v>
      </c>
      <c r="G12" s="6" t="s">
        <v>196</v>
      </c>
      <c r="H12" s="6" t="s">
        <v>202</v>
      </c>
      <c r="I12" s="6" t="s">
        <v>198</v>
      </c>
    </row>
    <row r="13" customFormat="false" ht="15" hidden="false" customHeight="false" outlineLevel="0" collapsed="false">
      <c r="A13" s="6" t="s">
        <v>219</v>
      </c>
      <c r="B13" s="6" t="s">
        <v>194</v>
      </c>
      <c r="C13" s="9" t="str">
        <f aca="false">'Item Catalog'!$B$3</f>
        <v>ITM-001 · 5 GAL SLIM CONTAINER W/ CAP BLUE</v>
      </c>
      <c r="D13" s="6" t="s">
        <v>200</v>
      </c>
      <c r="E13" s="6" t="n">
        <v>35</v>
      </c>
      <c r="F13" s="9" t="s">
        <v>220</v>
      </c>
      <c r="G13" s="6" t="s">
        <v>196</v>
      </c>
      <c r="H13" s="6" t="s">
        <v>202</v>
      </c>
      <c r="I13" s="6" t="s">
        <v>198</v>
      </c>
    </row>
    <row r="14" customFormat="false" ht="15" hidden="false" customHeight="false" outlineLevel="0" collapsed="false">
      <c r="A14" s="6" t="s">
        <v>221</v>
      </c>
      <c r="B14" s="6" t="s">
        <v>194</v>
      </c>
      <c r="C14" s="9" t="str">
        <f aca="false">'Item Catalog'!$B$4</f>
        <v>ITM-002 · 5 GAL SLIM CONTAINER W/ CAP BLUE-WOW</v>
      </c>
      <c r="D14" s="6" t="s">
        <v>195</v>
      </c>
      <c r="E14" s="6" t="n">
        <v>200</v>
      </c>
      <c r="F14" s="9"/>
      <c r="G14" s="6" t="s">
        <v>196</v>
      </c>
      <c r="H14" s="6" t="s">
        <v>197</v>
      </c>
      <c r="I14" s="6" t="s">
        <v>198</v>
      </c>
    </row>
    <row r="15" customFormat="false" ht="15" hidden="false" customHeight="false" outlineLevel="0" collapsed="false">
      <c r="A15" s="6" t="s">
        <v>222</v>
      </c>
      <c r="B15" s="6" t="s">
        <v>194</v>
      </c>
      <c r="C15" s="9" t="str">
        <f aca="false">'Item Catalog'!$B$4</f>
        <v>ITM-002 · 5 GAL SLIM CONTAINER W/ CAP BLUE-WOW</v>
      </c>
      <c r="D15" s="6" t="s">
        <v>200</v>
      </c>
      <c r="E15" s="6" t="n">
        <v>18</v>
      </c>
      <c r="F15" s="9" t="s">
        <v>201</v>
      </c>
      <c r="G15" s="6" t="s">
        <v>196</v>
      </c>
      <c r="H15" s="6" t="s">
        <v>202</v>
      </c>
      <c r="I15" s="6" t="s">
        <v>198</v>
      </c>
    </row>
    <row r="16" customFormat="false" ht="15" hidden="false" customHeight="false" outlineLevel="0" collapsed="false">
      <c r="A16" s="6" t="s">
        <v>223</v>
      </c>
      <c r="B16" s="6" t="s">
        <v>194</v>
      </c>
      <c r="C16" s="9" t="str">
        <f aca="false">'Item Catalog'!$B$4</f>
        <v>ITM-002 · 5 GAL SLIM CONTAINER W/ CAP BLUE-WOW</v>
      </c>
      <c r="D16" s="6" t="s">
        <v>200</v>
      </c>
      <c r="E16" s="6" t="n">
        <v>5</v>
      </c>
      <c r="F16" s="9" t="s">
        <v>204</v>
      </c>
      <c r="G16" s="6" t="s">
        <v>196</v>
      </c>
      <c r="H16" s="6" t="s">
        <v>202</v>
      </c>
      <c r="I16" s="6" t="s">
        <v>198</v>
      </c>
    </row>
    <row r="17" customFormat="false" ht="15" hidden="false" customHeight="false" outlineLevel="0" collapsed="false">
      <c r="A17" s="6" t="s">
        <v>224</v>
      </c>
      <c r="B17" s="6" t="s">
        <v>194</v>
      </c>
      <c r="C17" s="9" t="str">
        <f aca="false">'Item Catalog'!$B$4</f>
        <v>ITM-002 · 5 GAL SLIM CONTAINER W/ CAP BLUE-WOW</v>
      </c>
      <c r="D17" s="6" t="s">
        <v>200</v>
      </c>
      <c r="E17" s="6" t="n">
        <v>10</v>
      </c>
      <c r="F17" s="9" t="s">
        <v>208</v>
      </c>
      <c r="G17" s="6" t="s">
        <v>196</v>
      </c>
      <c r="H17" s="6" t="s">
        <v>202</v>
      </c>
      <c r="I17" s="6" t="s">
        <v>198</v>
      </c>
    </row>
    <row r="18" customFormat="false" ht="15" hidden="false" customHeight="false" outlineLevel="0" collapsed="false">
      <c r="A18" s="6" t="s">
        <v>225</v>
      </c>
      <c r="B18" s="6" t="s">
        <v>194</v>
      </c>
      <c r="C18" s="9" t="str">
        <f aca="false">'Item Catalog'!$B$4</f>
        <v>ITM-002 · 5 GAL SLIM CONTAINER W/ CAP BLUE-WOW</v>
      </c>
      <c r="D18" s="6" t="s">
        <v>200</v>
      </c>
      <c r="E18" s="6" t="n">
        <v>20</v>
      </c>
      <c r="F18" s="9" t="s">
        <v>214</v>
      </c>
      <c r="G18" s="6" t="s">
        <v>196</v>
      </c>
      <c r="H18" s="6" t="s">
        <v>202</v>
      </c>
      <c r="I18" s="6" t="s">
        <v>198</v>
      </c>
    </row>
    <row r="19" customFormat="false" ht="15" hidden="false" customHeight="false" outlineLevel="0" collapsed="false">
      <c r="A19" s="6" t="s">
        <v>226</v>
      </c>
      <c r="B19" s="6" t="s">
        <v>194</v>
      </c>
      <c r="C19" s="9" t="str">
        <f aca="false">'Item Catalog'!$B$5</f>
        <v>ITM-003 · 5 GAL SLIM CONTAINER W/ CAP GREEN</v>
      </c>
      <c r="D19" s="6" t="s">
        <v>195</v>
      </c>
      <c r="E19" s="6" t="n">
        <v>350</v>
      </c>
      <c r="F19" s="9"/>
      <c r="G19" s="6" t="s">
        <v>196</v>
      </c>
      <c r="H19" s="6" t="s">
        <v>197</v>
      </c>
      <c r="I19" s="6" t="s">
        <v>198</v>
      </c>
    </row>
    <row r="20" customFormat="false" ht="15" hidden="false" customHeight="false" outlineLevel="0" collapsed="false">
      <c r="A20" s="6" t="s">
        <v>227</v>
      </c>
      <c r="B20" s="6" t="s">
        <v>194</v>
      </c>
      <c r="C20" s="9" t="str">
        <f aca="false">'Item Catalog'!$B$5</f>
        <v>ITM-003 · 5 GAL SLIM CONTAINER W/ CAP GREEN</v>
      </c>
      <c r="D20" s="6" t="s">
        <v>200</v>
      </c>
      <c r="E20" s="6" t="n">
        <v>81</v>
      </c>
      <c r="F20" s="9" t="s">
        <v>201</v>
      </c>
      <c r="G20" s="6" t="s">
        <v>196</v>
      </c>
      <c r="H20" s="6" t="s">
        <v>202</v>
      </c>
      <c r="I20" s="6" t="s">
        <v>198</v>
      </c>
    </row>
    <row r="21" customFormat="false" ht="15" hidden="false" customHeight="false" outlineLevel="0" collapsed="false">
      <c r="A21" s="6" t="s">
        <v>228</v>
      </c>
      <c r="B21" s="6" t="s">
        <v>194</v>
      </c>
      <c r="C21" s="9" t="str">
        <f aca="false">'Item Catalog'!$B$5</f>
        <v>ITM-003 · 5 GAL SLIM CONTAINER W/ CAP GREEN</v>
      </c>
      <c r="D21" s="6" t="s">
        <v>200</v>
      </c>
      <c r="E21" s="6" t="n">
        <v>8</v>
      </c>
      <c r="F21" s="9" t="s">
        <v>214</v>
      </c>
      <c r="G21" s="6" t="s">
        <v>196</v>
      </c>
      <c r="H21" s="6" t="s">
        <v>202</v>
      </c>
      <c r="I21" s="6" t="s">
        <v>198</v>
      </c>
    </row>
    <row r="22" customFormat="false" ht="15" hidden="false" customHeight="false" outlineLevel="0" collapsed="false">
      <c r="A22" s="6" t="s">
        <v>229</v>
      </c>
      <c r="B22" s="6" t="s">
        <v>194</v>
      </c>
      <c r="C22" s="9" t="str">
        <f aca="false">'Item Catalog'!$B$5</f>
        <v>ITM-003 · 5 GAL SLIM CONTAINER W/ CAP GREEN</v>
      </c>
      <c r="D22" s="6" t="s">
        <v>200</v>
      </c>
      <c r="E22" s="6" t="n">
        <v>35</v>
      </c>
      <c r="F22" s="9" t="s">
        <v>220</v>
      </c>
      <c r="G22" s="6" t="s">
        <v>196</v>
      </c>
      <c r="H22" s="6" t="s">
        <v>202</v>
      </c>
      <c r="I22" s="6" t="s">
        <v>198</v>
      </c>
    </row>
    <row r="23" customFormat="false" ht="15" hidden="false" customHeight="false" outlineLevel="0" collapsed="false">
      <c r="A23" s="6" t="s">
        <v>230</v>
      </c>
      <c r="B23" s="6" t="s">
        <v>194</v>
      </c>
      <c r="C23" s="9" t="str">
        <f aca="false">'Item Catalog'!$B$5</f>
        <v>ITM-003 · 5 GAL SLIM CONTAINER W/ CAP GREEN</v>
      </c>
      <c r="D23" s="6" t="s">
        <v>200</v>
      </c>
      <c r="E23" s="6" t="n">
        <v>91</v>
      </c>
      <c r="F23" s="9" t="s">
        <v>216</v>
      </c>
      <c r="G23" s="6" t="s">
        <v>196</v>
      </c>
      <c r="H23" s="6" t="s">
        <v>202</v>
      </c>
      <c r="I23" s="6" t="s">
        <v>198</v>
      </c>
    </row>
    <row r="24" customFormat="false" ht="15" hidden="false" customHeight="false" outlineLevel="0" collapsed="false">
      <c r="A24" s="6" t="s">
        <v>231</v>
      </c>
      <c r="B24" s="6" t="s">
        <v>194</v>
      </c>
      <c r="C24" s="9" t="str">
        <f aca="false">'Item Catalog'!$B$5</f>
        <v>ITM-003 · 5 GAL SLIM CONTAINER W/ CAP GREEN</v>
      </c>
      <c r="D24" s="6" t="s">
        <v>200</v>
      </c>
      <c r="E24" s="6" t="n">
        <v>5</v>
      </c>
      <c r="F24" s="9" t="s">
        <v>218</v>
      </c>
      <c r="G24" s="6" t="s">
        <v>196</v>
      </c>
      <c r="H24" s="6" t="s">
        <v>202</v>
      </c>
      <c r="I24" s="6" t="s">
        <v>198</v>
      </c>
    </row>
    <row r="25" customFormat="false" ht="15" hidden="false" customHeight="false" outlineLevel="0" collapsed="false">
      <c r="A25" s="6" t="s">
        <v>232</v>
      </c>
      <c r="B25" s="6" t="s">
        <v>194</v>
      </c>
      <c r="C25" s="9" t="str">
        <f aca="false">'Item Catalog'!$B$6</f>
        <v>ITM-004 · 5 GAL SLIM CONTAINER W/ CAP YELLOW</v>
      </c>
      <c r="D25" s="6" t="s">
        <v>195</v>
      </c>
      <c r="E25" s="6" t="n">
        <v>350</v>
      </c>
      <c r="F25" s="9"/>
      <c r="G25" s="6" t="s">
        <v>196</v>
      </c>
      <c r="H25" s="6" t="s">
        <v>197</v>
      </c>
      <c r="I25" s="6" t="s">
        <v>198</v>
      </c>
    </row>
    <row r="26" customFormat="false" ht="15" hidden="false" customHeight="false" outlineLevel="0" collapsed="false">
      <c r="A26" s="6" t="s">
        <v>233</v>
      </c>
      <c r="B26" s="6" t="s">
        <v>194</v>
      </c>
      <c r="C26" s="9" t="str">
        <f aca="false">'Item Catalog'!$B$6</f>
        <v>ITM-004 · 5 GAL SLIM CONTAINER W/ CAP YELLOW</v>
      </c>
      <c r="D26" s="6" t="s">
        <v>200</v>
      </c>
      <c r="E26" s="6" t="n">
        <v>38</v>
      </c>
      <c r="F26" s="9" t="s">
        <v>201</v>
      </c>
      <c r="G26" s="6" t="s">
        <v>196</v>
      </c>
      <c r="H26" s="6" t="s">
        <v>202</v>
      </c>
      <c r="I26" s="6" t="s">
        <v>198</v>
      </c>
    </row>
    <row r="27" customFormat="false" ht="15" hidden="false" customHeight="false" outlineLevel="0" collapsed="false">
      <c r="A27" s="6" t="s">
        <v>234</v>
      </c>
      <c r="B27" s="6" t="s">
        <v>194</v>
      </c>
      <c r="C27" s="9" t="str">
        <f aca="false">'Item Catalog'!$B$6</f>
        <v>ITM-004 · 5 GAL SLIM CONTAINER W/ CAP YELLOW</v>
      </c>
      <c r="D27" s="6" t="s">
        <v>200</v>
      </c>
      <c r="E27" s="6" t="n">
        <v>10</v>
      </c>
      <c r="F27" s="9" t="s">
        <v>214</v>
      </c>
      <c r="G27" s="6" t="s">
        <v>196</v>
      </c>
      <c r="H27" s="6" t="s">
        <v>202</v>
      </c>
      <c r="I27" s="6" t="s">
        <v>198</v>
      </c>
    </row>
    <row r="28" customFormat="false" ht="15" hidden="false" customHeight="false" outlineLevel="0" collapsed="false">
      <c r="A28" s="6" t="s">
        <v>235</v>
      </c>
      <c r="B28" s="6" t="s">
        <v>194</v>
      </c>
      <c r="C28" s="9" t="str">
        <f aca="false">'Item Catalog'!$B$6</f>
        <v>ITM-004 · 5 GAL SLIM CONTAINER W/ CAP YELLOW</v>
      </c>
      <c r="D28" s="6" t="s">
        <v>200</v>
      </c>
      <c r="E28" s="6" t="n">
        <v>10</v>
      </c>
      <c r="F28" s="9" t="s">
        <v>220</v>
      </c>
      <c r="G28" s="6" t="s">
        <v>196</v>
      </c>
      <c r="H28" s="6" t="s">
        <v>202</v>
      </c>
      <c r="I28" s="6" t="s">
        <v>198</v>
      </c>
    </row>
    <row r="29" customFormat="false" ht="15" hidden="false" customHeight="false" outlineLevel="0" collapsed="false">
      <c r="A29" s="6" t="s">
        <v>236</v>
      </c>
      <c r="B29" s="6" t="s">
        <v>194</v>
      </c>
      <c r="C29" s="9" t="str">
        <f aca="false">'Item Catalog'!$B$7</f>
        <v>ITM-005 · 5 GAL (PET) ROUND CONTAINER BLUE W/ CAP (CLASS A)</v>
      </c>
      <c r="D29" s="6" t="s">
        <v>195</v>
      </c>
      <c r="E29" s="6" t="n">
        <v>200</v>
      </c>
      <c r="F29" s="9"/>
      <c r="G29" s="6" t="s">
        <v>196</v>
      </c>
      <c r="H29" s="6" t="s">
        <v>197</v>
      </c>
      <c r="I29" s="6" t="s">
        <v>198</v>
      </c>
    </row>
    <row r="30" customFormat="false" ht="15" hidden="false" customHeight="false" outlineLevel="0" collapsed="false">
      <c r="A30" s="6" t="s">
        <v>237</v>
      </c>
      <c r="B30" s="6" t="s">
        <v>194</v>
      </c>
      <c r="C30" s="9" t="str">
        <f aca="false">'Item Catalog'!$B$7</f>
        <v>ITM-005 · 5 GAL (PET) ROUND CONTAINER BLUE W/ CAP (CLASS A)</v>
      </c>
      <c r="D30" s="6" t="s">
        <v>200</v>
      </c>
      <c r="E30" s="6" t="n">
        <v>35</v>
      </c>
      <c r="F30" s="9" t="s">
        <v>201</v>
      </c>
      <c r="G30" s="6" t="s">
        <v>196</v>
      </c>
      <c r="H30" s="6" t="s">
        <v>202</v>
      </c>
      <c r="I30" s="6" t="s">
        <v>198</v>
      </c>
    </row>
    <row r="31" customFormat="false" ht="15" hidden="false" customHeight="false" outlineLevel="0" collapsed="false">
      <c r="A31" s="6" t="s">
        <v>238</v>
      </c>
      <c r="B31" s="6" t="s">
        <v>194</v>
      </c>
      <c r="C31" s="9" t="str">
        <f aca="false">'Item Catalog'!$B$7</f>
        <v>ITM-005 · 5 GAL (PET) ROUND CONTAINER BLUE W/ CAP (CLASS A)</v>
      </c>
      <c r="D31" s="6" t="s">
        <v>200</v>
      </c>
      <c r="E31" s="6" t="n">
        <v>5</v>
      </c>
      <c r="F31" s="9" t="s">
        <v>204</v>
      </c>
      <c r="G31" s="6" t="s">
        <v>196</v>
      </c>
      <c r="H31" s="6" t="s">
        <v>202</v>
      </c>
      <c r="I31" s="6" t="s">
        <v>198</v>
      </c>
    </row>
    <row r="32" customFormat="false" ht="15" hidden="false" customHeight="false" outlineLevel="0" collapsed="false">
      <c r="A32" s="6" t="s">
        <v>239</v>
      </c>
      <c r="B32" s="6" t="s">
        <v>194</v>
      </c>
      <c r="C32" s="9" t="str">
        <f aca="false">'Item Catalog'!$B$7</f>
        <v>ITM-005 · 5 GAL (PET) ROUND CONTAINER BLUE W/ CAP (CLASS A)</v>
      </c>
      <c r="D32" s="6" t="s">
        <v>200</v>
      </c>
      <c r="E32" s="6" t="n">
        <v>15</v>
      </c>
      <c r="F32" s="9" t="s">
        <v>206</v>
      </c>
      <c r="G32" s="6" t="s">
        <v>196</v>
      </c>
      <c r="H32" s="6" t="s">
        <v>202</v>
      </c>
      <c r="I32" s="6" t="s">
        <v>198</v>
      </c>
    </row>
    <row r="33" customFormat="false" ht="15" hidden="false" customHeight="false" outlineLevel="0" collapsed="false">
      <c r="A33" s="6" t="s">
        <v>240</v>
      </c>
      <c r="B33" s="6" t="s">
        <v>194</v>
      </c>
      <c r="C33" s="9" t="str">
        <f aca="false">'Item Catalog'!$B$7</f>
        <v>ITM-005 · 5 GAL (PET) ROUND CONTAINER BLUE W/ CAP (CLASS A)</v>
      </c>
      <c r="D33" s="6" t="s">
        <v>200</v>
      </c>
      <c r="E33" s="6" t="n">
        <v>60</v>
      </c>
      <c r="F33" s="9" t="s">
        <v>208</v>
      </c>
      <c r="G33" s="6" t="s">
        <v>196</v>
      </c>
      <c r="H33" s="6" t="s">
        <v>202</v>
      </c>
      <c r="I33" s="6" t="s">
        <v>198</v>
      </c>
    </row>
    <row r="34" customFormat="false" ht="15" hidden="false" customHeight="false" outlineLevel="0" collapsed="false">
      <c r="A34" s="6" t="s">
        <v>241</v>
      </c>
      <c r="B34" s="6" t="s">
        <v>194</v>
      </c>
      <c r="C34" s="9" t="str">
        <f aca="false">'Item Catalog'!$B$7</f>
        <v>ITM-005 · 5 GAL (PET) ROUND CONTAINER BLUE W/ CAP (CLASS A)</v>
      </c>
      <c r="D34" s="6" t="s">
        <v>200</v>
      </c>
      <c r="E34" s="6" t="n">
        <v>9</v>
      </c>
      <c r="F34" s="9" t="s">
        <v>210</v>
      </c>
      <c r="G34" s="6" t="s">
        <v>196</v>
      </c>
      <c r="H34" s="6" t="s">
        <v>202</v>
      </c>
      <c r="I34" s="6" t="s">
        <v>198</v>
      </c>
    </row>
    <row r="35" customFormat="false" ht="15" hidden="false" customHeight="false" outlineLevel="0" collapsed="false">
      <c r="A35" s="6" t="s">
        <v>242</v>
      </c>
      <c r="B35" s="6" t="s">
        <v>194</v>
      </c>
      <c r="C35" s="9" t="str">
        <f aca="false">'Item Catalog'!$B$7</f>
        <v>ITM-005 · 5 GAL (PET) ROUND CONTAINER BLUE W/ CAP (CLASS A)</v>
      </c>
      <c r="D35" s="6" t="s">
        <v>200</v>
      </c>
      <c r="E35" s="6" t="n">
        <v>6</v>
      </c>
      <c r="F35" s="9" t="s">
        <v>212</v>
      </c>
      <c r="G35" s="6" t="s">
        <v>196</v>
      </c>
      <c r="H35" s="6" t="s">
        <v>202</v>
      </c>
      <c r="I35" s="6" t="s">
        <v>198</v>
      </c>
    </row>
    <row r="36" customFormat="false" ht="15" hidden="false" customHeight="false" outlineLevel="0" collapsed="false">
      <c r="A36" s="6" t="s">
        <v>243</v>
      </c>
      <c r="B36" s="6" t="s">
        <v>194</v>
      </c>
      <c r="C36" s="9" t="str">
        <f aca="false">'Item Catalog'!$B$7</f>
        <v>ITM-005 · 5 GAL (PET) ROUND CONTAINER BLUE W/ CAP (CLASS A)</v>
      </c>
      <c r="D36" s="6" t="s">
        <v>200</v>
      </c>
      <c r="E36" s="6" t="n">
        <v>13</v>
      </c>
      <c r="F36" s="9" t="s">
        <v>214</v>
      </c>
      <c r="G36" s="6" t="s">
        <v>196</v>
      </c>
      <c r="H36" s="6" t="s">
        <v>202</v>
      </c>
      <c r="I36" s="6" t="s">
        <v>198</v>
      </c>
    </row>
    <row r="37" customFormat="false" ht="15" hidden="false" customHeight="false" outlineLevel="0" collapsed="false">
      <c r="A37" s="6" t="s">
        <v>244</v>
      </c>
      <c r="B37" s="6" t="s">
        <v>194</v>
      </c>
      <c r="C37" s="9" t="str">
        <f aca="false">'Item Catalog'!$B$7</f>
        <v>ITM-005 · 5 GAL (PET) ROUND CONTAINER BLUE W/ CAP (CLASS A)</v>
      </c>
      <c r="D37" s="6" t="s">
        <v>200</v>
      </c>
      <c r="E37" s="6" t="n">
        <v>9</v>
      </c>
      <c r="F37" s="9" t="s">
        <v>216</v>
      </c>
      <c r="G37" s="6" t="s">
        <v>196</v>
      </c>
      <c r="H37" s="6" t="s">
        <v>202</v>
      </c>
      <c r="I37" s="6" t="s">
        <v>198</v>
      </c>
    </row>
    <row r="38" customFormat="false" ht="15" hidden="false" customHeight="false" outlineLevel="0" collapsed="false">
      <c r="A38" s="6" t="s">
        <v>245</v>
      </c>
      <c r="B38" s="6" t="s">
        <v>194</v>
      </c>
      <c r="C38" s="9" t="str">
        <f aca="false">'Item Catalog'!$B$7</f>
        <v>ITM-005 · 5 GAL (PET) ROUND CONTAINER BLUE W/ CAP (CLASS A)</v>
      </c>
      <c r="D38" s="6" t="s">
        <v>200</v>
      </c>
      <c r="E38" s="6" t="n">
        <v>25</v>
      </c>
      <c r="F38" s="9" t="s">
        <v>218</v>
      </c>
      <c r="G38" s="6" t="s">
        <v>196</v>
      </c>
      <c r="H38" s="6" t="s">
        <v>202</v>
      </c>
      <c r="I38" s="6" t="s">
        <v>198</v>
      </c>
    </row>
    <row r="39" customFormat="false" ht="15" hidden="false" customHeight="false" outlineLevel="0" collapsed="false">
      <c r="A39" s="6" t="s">
        <v>246</v>
      </c>
      <c r="B39" s="6" t="s">
        <v>194</v>
      </c>
      <c r="C39" s="9" t="str">
        <f aca="false">'Item Catalog'!$B$7</f>
        <v>ITM-005 · 5 GAL (PET) ROUND CONTAINER BLUE W/ CAP (CLASS A)</v>
      </c>
      <c r="D39" s="6" t="s">
        <v>200</v>
      </c>
      <c r="E39" s="6" t="n">
        <v>22</v>
      </c>
      <c r="F39" s="9" t="s">
        <v>220</v>
      </c>
      <c r="G39" s="6" t="s">
        <v>196</v>
      </c>
      <c r="H39" s="6" t="s">
        <v>202</v>
      </c>
      <c r="I39" s="6" t="s">
        <v>198</v>
      </c>
    </row>
    <row r="40" customFormat="false" ht="15" hidden="false" customHeight="false" outlineLevel="0" collapsed="false">
      <c r="A40" s="6" t="s">
        <v>247</v>
      </c>
      <c r="B40" s="6" t="s">
        <v>194</v>
      </c>
      <c r="C40" s="9" t="str">
        <f aca="false">'Item Catalog'!$B$8</f>
        <v>ITM-006 · 5 GAL (PET) ROUND CONTAINER BLUE W/ CAP (CLASS A)</v>
      </c>
      <c r="D40" s="6" t="s">
        <v>195</v>
      </c>
      <c r="E40" s="6" t="n">
        <v>100</v>
      </c>
      <c r="F40" s="9"/>
      <c r="G40" s="6" t="s">
        <v>196</v>
      </c>
      <c r="H40" s="6" t="s">
        <v>197</v>
      </c>
      <c r="I40" s="6" t="s">
        <v>198</v>
      </c>
    </row>
    <row r="41" customFormat="false" ht="15" hidden="false" customHeight="false" outlineLevel="0" collapsed="false">
      <c r="A41" s="6" t="s">
        <v>248</v>
      </c>
      <c r="B41" s="6" t="s">
        <v>194</v>
      </c>
      <c r="C41" s="9" t="str">
        <f aca="false">'Item Catalog'!$B$8</f>
        <v>ITM-006 · 5 GAL (PET) ROUND CONTAINER BLUE W/ CAP (CLASS A)</v>
      </c>
      <c r="D41" s="6" t="s">
        <v>200</v>
      </c>
      <c r="E41" s="6" t="n">
        <v>5</v>
      </c>
      <c r="F41" s="9" t="s">
        <v>201</v>
      </c>
      <c r="G41" s="6" t="s">
        <v>196</v>
      </c>
      <c r="H41" s="6" t="s">
        <v>202</v>
      </c>
      <c r="I41" s="6" t="s">
        <v>198</v>
      </c>
    </row>
    <row r="42" customFormat="false" ht="15" hidden="false" customHeight="false" outlineLevel="0" collapsed="false">
      <c r="A42" s="6" t="s">
        <v>249</v>
      </c>
      <c r="B42" s="6" t="s">
        <v>194</v>
      </c>
      <c r="C42" s="9" t="str">
        <f aca="false">'Item Catalog'!$B$8</f>
        <v>ITM-006 · 5 GAL (PET) ROUND CONTAINER BLUE W/ CAP (CLASS A)</v>
      </c>
      <c r="D42" s="6" t="s">
        <v>200</v>
      </c>
      <c r="E42" s="6" t="n">
        <v>1</v>
      </c>
      <c r="F42" s="9" t="s">
        <v>216</v>
      </c>
      <c r="G42" s="6" t="s">
        <v>196</v>
      </c>
      <c r="H42" s="6" t="s">
        <v>202</v>
      </c>
      <c r="I42" s="6" t="s">
        <v>198</v>
      </c>
    </row>
    <row r="43" customFormat="false" ht="15" hidden="false" customHeight="false" outlineLevel="0" collapsed="false">
      <c r="A43" s="6" t="s">
        <v>250</v>
      </c>
      <c r="B43" s="6" t="s">
        <v>194</v>
      </c>
      <c r="C43" s="9" t="str">
        <f aca="false">'Item Catalog'!$B$8</f>
        <v>ITM-006 · 5 GAL (PET) ROUND CONTAINER BLUE W/ CAP (CLASS A)</v>
      </c>
      <c r="D43" s="6" t="s">
        <v>200</v>
      </c>
      <c r="E43" s="6" t="n">
        <v>5</v>
      </c>
      <c r="F43" s="9" t="s">
        <v>220</v>
      </c>
      <c r="G43" s="6" t="s">
        <v>196</v>
      </c>
      <c r="H43" s="6" t="s">
        <v>202</v>
      </c>
      <c r="I43" s="6" t="s">
        <v>198</v>
      </c>
    </row>
    <row r="44" customFormat="false" ht="15" hidden="false" customHeight="false" outlineLevel="0" collapsed="false">
      <c r="A44" s="6" t="s">
        <v>251</v>
      </c>
      <c r="B44" s="6" t="s">
        <v>194</v>
      </c>
      <c r="C44" s="9" t="str">
        <f aca="false">'Item Catalog'!$B$9</f>
        <v>ITM-007 · BIG CAP SEAL FOR SLIM LW</v>
      </c>
      <c r="D44" s="6" t="s">
        <v>195</v>
      </c>
      <c r="E44" s="6" t="n">
        <v>100</v>
      </c>
      <c r="F44" s="9"/>
      <c r="G44" s="6" t="s">
        <v>196</v>
      </c>
      <c r="H44" s="6" t="s">
        <v>197</v>
      </c>
      <c r="I44" s="6" t="s">
        <v>198</v>
      </c>
    </row>
    <row r="45" customFormat="false" ht="15" hidden="false" customHeight="false" outlineLevel="0" collapsed="false">
      <c r="A45" s="6" t="s">
        <v>252</v>
      </c>
      <c r="B45" s="6" t="s">
        <v>194</v>
      </c>
      <c r="C45" s="9" t="str">
        <f aca="false">'Item Catalog'!$B$9</f>
        <v>ITM-007 · BIG CAP SEAL FOR SLIM LW</v>
      </c>
      <c r="D45" s="6" t="s">
        <v>200</v>
      </c>
      <c r="E45" s="6" t="n">
        <v>49</v>
      </c>
      <c r="F45" s="9" t="s">
        <v>201</v>
      </c>
      <c r="G45" s="6" t="s">
        <v>196</v>
      </c>
      <c r="H45" s="6" t="s">
        <v>202</v>
      </c>
      <c r="I45" s="6" t="s">
        <v>198</v>
      </c>
    </row>
    <row r="46" customFormat="false" ht="15" hidden="false" customHeight="false" outlineLevel="0" collapsed="false">
      <c r="A46" s="6" t="s">
        <v>253</v>
      </c>
      <c r="B46" s="6" t="s">
        <v>194</v>
      </c>
      <c r="C46" s="9" t="str">
        <f aca="false">'Item Catalog'!$B$9</f>
        <v>ITM-007 · BIG CAP SEAL FOR SLIM LW</v>
      </c>
      <c r="D46" s="6" t="s">
        <v>200</v>
      </c>
      <c r="E46" s="6" t="n">
        <v>3</v>
      </c>
      <c r="F46" s="9" t="s">
        <v>206</v>
      </c>
      <c r="G46" s="6" t="s">
        <v>196</v>
      </c>
      <c r="H46" s="6" t="s">
        <v>202</v>
      </c>
      <c r="I46" s="6" t="s">
        <v>198</v>
      </c>
    </row>
    <row r="47" customFormat="false" ht="15" hidden="false" customHeight="false" outlineLevel="0" collapsed="false">
      <c r="A47" s="6" t="s">
        <v>254</v>
      </c>
      <c r="B47" s="6" t="s">
        <v>194</v>
      </c>
      <c r="C47" s="9" t="str">
        <f aca="false">'Item Catalog'!$B$9</f>
        <v>ITM-007 · BIG CAP SEAL FOR SLIM LW</v>
      </c>
      <c r="D47" s="6" t="s">
        <v>200</v>
      </c>
      <c r="E47" s="6" t="n">
        <v>3</v>
      </c>
      <c r="F47" s="9" t="s">
        <v>210</v>
      </c>
      <c r="G47" s="6" t="s">
        <v>196</v>
      </c>
      <c r="H47" s="6" t="s">
        <v>202</v>
      </c>
      <c r="I47" s="6" t="s">
        <v>198</v>
      </c>
    </row>
    <row r="48" customFormat="false" ht="15" hidden="false" customHeight="false" outlineLevel="0" collapsed="false">
      <c r="A48" s="6" t="s">
        <v>255</v>
      </c>
      <c r="B48" s="6" t="s">
        <v>194</v>
      </c>
      <c r="C48" s="9" t="str">
        <f aca="false">'Item Catalog'!$B$10</f>
        <v>ITM-008 · SMALL CAP SEAL FOR SLIM LW</v>
      </c>
      <c r="D48" s="6" t="s">
        <v>195</v>
      </c>
      <c r="E48" s="6" t="n">
        <v>100</v>
      </c>
      <c r="F48" s="9"/>
      <c r="G48" s="6" t="s">
        <v>196</v>
      </c>
      <c r="H48" s="6" t="s">
        <v>197</v>
      </c>
      <c r="I48" s="6" t="s">
        <v>198</v>
      </c>
    </row>
    <row r="49" customFormat="false" ht="15" hidden="false" customHeight="false" outlineLevel="0" collapsed="false">
      <c r="A49" s="6" t="s">
        <v>256</v>
      </c>
      <c r="B49" s="6" t="s">
        <v>194</v>
      </c>
      <c r="C49" s="9" t="str">
        <f aca="false">'Item Catalog'!$B$10</f>
        <v>ITM-008 · SMALL CAP SEAL FOR SLIM LW</v>
      </c>
      <c r="D49" s="6" t="s">
        <v>200</v>
      </c>
      <c r="E49" s="6" t="n">
        <v>19</v>
      </c>
      <c r="F49" s="9" t="s">
        <v>201</v>
      </c>
      <c r="G49" s="6" t="s">
        <v>196</v>
      </c>
      <c r="H49" s="6" t="s">
        <v>202</v>
      </c>
      <c r="I49" s="6" t="s">
        <v>198</v>
      </c>
    </row>
    <row r="50" customFormat="false" ht="15" hidden="false" customHeight="false" outlineLevel="0" collapsed="false">
      <c r="A50" s="6" t="s">
        <v>257</v>
      </c>
      <c r="B50" s="6" t="s">
        <v>194</v>
      </c>
      <c r="C50" s="9" t="str">
        <f aca="false">'Item Catalog'!$B$10</f>
        <v>ITM-008 · SMALL CAP SEAL FOR SLIM LW</v>
      </c>
      <c r="D50" s="6" t="s">
        <v>200</v>
      </c>
      <c r="E50" s="6" t="n">
        <v>1</v>
      </c>
      <c r="F50" s="9" t="s">
        <v>206</v>
      </c>
      <c r="G50" s="6" t="s">
        <v>196</v>
      </c>
      <c r="H50" s="6" t="s">
        <v>202</v>
      </c>
      <c r="I50" s="6" t="s">
        <v>198</v>
      </c>
    </row>
    <row r="51" customFormat="false" ht="15" hidden="false" customHeight="false" outlineLevel="0" collapsed="false">
      <c r="A51" s="6" t="s">
        <v>258</v>
      </c>
      <c r="B51" s="6" t="s">
        <v>194</v>
      </c>
      <c r="C51" s="9" t="str">
        <f aca="false">'Item Catalog'!$B$10</f>
        <v>ITM-008 · SMALL CAP SEAL FOR SLIM LW</v>
      </c>
      <c r="D51" s="6" t="s">
        <v>200</v>
      </c>
      <c r="E51" s="6" t="n">
        <v>4</v>
      </c>
      <c r="F51" s="9" t="s">
        <v>210</v>
      </c>
      <c r="G51" s="6" t="s">
        <v>196</v>
      </c>
      <c r="H51" s="6" t="s">
        <v>202</v>
      </c>
      <c r="I51" s="6" t="s">
        <v>198</v>
      </c>
    </row>
    <row r="52" customFormat="false" ht="15" hidden="false" customHeight="false" outlineLevel="0" collapsed="false">
      <c r="A52" s="6" t="s">
        <v>259</v>
      </c>
      <c r="B52" s="6" t="s">
        <v>194</v>
      </c>
      <c r="C52" s="9" t="str">
        <f aca="false">'Item Catalog'!$B$11</f>
        <v>ITM-009 · FAUCET SEAL FOR SLIM LW</v>
      </c>
      <c r="D52" s="6" t="s">
        <v>195</v>
      </c>
      <c r="E52" s="6" t="n">
        <v>100</v>
      </c>
      <c r="F52" s="9"/>
      <c r="G52" s="6" t="s">
        <v>196</v>
      </c>
      <c r="H52" s="6" t="s">
        <v>197</v>
      </c>
      <c r="I52" s="6" t="s">
        <v>198</v>
      </c>
    </row>
    <row r="53" customFormat="false" ht="15" hidden="false" customHeight="false" outlineLevel="0" collapsed="false">
      <c r="A53" s="6" t="s">
        <v>260</v>
      </c>
      <c r="B53" s="6" t="s">
        <v>194</v>
      </c>
      <c r="C53" s="9" t="str">
        <f aca="false">'Item Catalog'!$B$11</f>
        <v>ITM-009 · FAUCET SEAL FOR SLIM LW</v>
      </c>
      <c r="D53" s="6" t="s">
        <v>200</v>
      </c>
      <c r="E53" s="6" t="n">
        <v>28</v>
      </c>
      <c r="F53" s="9" t="s">
        <v>201</v>
      </c>
      <c r="G53" s="6" t="s">
        <v>196</v>
      </c>
      <c r="H53" s="6" t="s">
        <v>202</v>
      </c>
      <c r="I53" s="6" t="s">
        <v>198</v>
      </c>
    </row>
    <row r="54" customFormat="false" ht="15" hidden="false" customHeight="false" outlineLevel="0" collapsed="false">
      <c r="A54" s="6" t="s">
        <v>261</v>
      </c>
      <c r="B54" s="6" t="s">
        <v>194</v>
      </c>
      <c r="C54" s="9" t="str">
        <f aca="false">'Item Catalog'!$B$11</f>
        <v>ITM-009 · FAUCET SEAL FOR SLIM LW</v>
      </c>
      <c r="D54" s="6" t="s">
        <v>200</v>
      </c>
      <c r="E54" s="6" t="n">
        <v>5</v>
      </c>
      <c r="F54" s="9" t="s">
        <v>206</v>
      </c>
      <c r="G54" s="6" t="s">
        <v>196</v>
      </c>
      <c r="H54" s="6" t="s">
        <v>202</v>
      </c>
      <c r="I54" s="6" t="s">
        <v>198</v>
      </c>
    </row>
    <row r="55" customFormat="false" ht="15" hidden="false" customHeight="false" outlineLevel="0" collapsed="false">
      <c r="A55" s="6" t="s">
        <v>262</v>
      </c>
      <c r="B55" s="6" t="s">
        <v>194</v>
      </c>
      <c r="C55" s="9" t="str">
        <f aca="false">'Item Catalog'!$B$11</f>
        <v>ITM-009 · FAUCET SEAL FOR SLIM LW</v>
      </c>
      <c r="D55" s="6" t="s">
        <v>200</v>
      </c>
      <c r="E55" s="6" t="n">
        <v>20</v>
      </c>
      <c r="F55" s="9" t="s">
        <v>263</v>
      </c>
      <c r="G55" s="6" t="s">
        <v>196</v>
      </c>
      <c r="H55" s="6" t="s">
        <v>202</v>
      </c>
      <c r="I55" s="6" t="s">
        <v>198</v>
      </c>
    </row>
    <row r="56" customFormat="false" ht="15" hidden="false" customHeight="false" outlineLevel="0" collapsed="false">
      <c r="A56" s="6" t="s">
        <v>264</v>
      </c>
      <c r="B56" s="6" t="s">
        <v>194</v>
      </c>
      <c r="C56" s="9" t="str">
        <f aca="false">'Item Catalog'!$B$11</f>
        <v>ITM-009 · FAUCET SEAL FOR SLIM LW</v>
      </c>
      <c r="D56" s="6" t="s">
        <v>200</v>
      </c>
      <c r="E56" s="6" t="n">
        <v>7</v>
      </c>
      <c r="F56" s="9" t="s">
        <v>210</v>
      </c>
      <c r="G56" s="6" t="s">
        <v>196</v>
      </c>
      <c r="H56" s="6" t="s">
        <v>202</v>
      </c>
      <c r="I56" s="6" t="s">
        <v>198</v>
      </c>
    </row>
    <row r="57" customFormat="false" ht="15" hidden="false" customHeight="false" outlineLevel="0" collapsed="false">
      <c r="A57" s="6" t="s">
        <v>265</v>
      </c>
      <c r="B57" s="6" t="s">
        <v>194</v>
      </c>
      <c r="C57" s="9" t="str">
        <f aca="false">'Item Catalog'!$B$11</f>
        <v>ITM-009 · FAUCET SEAL FOR SLIM LW</v>
      </c>
      <c r="D57" s="6" t="s">
        <v>200</v>
      </c>
      <c r="E57" s="6" t="n">
        <v>2</v>
      </c>
      <c r="F57" s="9" t="s">
        <v>220</v>
      </c>
      <c r="G57" s="6" t="s">
        <v>196</v>
      </c>
      <c r="H57" s="6" t="s">
        <v>202</v>
      </c>
      <c r="I57" s="6" t="s">
        <v>198</v>
      </c>
    </row>
    <row r="58" customFormat="false" ht="15" hidden="false" customHeight="false" outlineLevel="0" collapsed="false">
      <c r="A58" s="6" t="s">
        <v>266</v>
      </c>
      <c r="B58" s="6" t="s">
        <v>194</v>
      </c>
      <c r="C58" s="9" t="str">
        <f aca="false">'Item Catalog'!$B$12</f>
        <v>ITM-010 · FAUCET SEAL FOR SLIM LW (CLASS B)</v>
      </c>
      <c r="D58" s="6" t="s">
        <v>195</v>
      </c>
      <c r="E58" s="6" t="n">
        <v>25</v>
      </c>
      <c r="F58" s="9"/>
      <c r="G58" s="6" t="s">
        <v>196</v>
      </c>
      <c r="H58" s="6" t="s">
        <v>197</v>
      </c>
      <c r="I58" s="6" t="s">
        <v>198</v>
      </c>
    </row>
    <row r="59" customFormat="false" ht="15" hidden="false" customHeight="false" outlineLevel="0" collapsed="false">
      <c r="A59" s="6" t="s">
        <v>267</v>
      </c>
      <c r="B59" s="6" t="s">
        <v>194</v>
      </c>
      <c r="C59" s="9" t="str">
        <f aca="false">'Item Catalog'!$B$13</f>
        <v>ITM-011 · UMBRELLA SEAL FOR ROUND LW</v>
      </c>
      <c r="D59" s="6" t="s">
        <v>195</v>
      </c>
      <c r="E59" s="6" t="n">
        <v>100</v>
      </c>
      <c r="F59" s="9"/>
      <c r="G59" s="6" t="s">
        <v>196</v>
      </c>
      <c r="H59" s="6" t="s">
        <v>197</v>
      </c>
      <c r="I59" s="6" t="s">
        <v>198</v>
      </c>
    </row>
    <row r="60" customFormat="false" ht="15" hidden="false" customHeight="false" outlineLevel="0" collapsed="false">
      <c r="A60" s="6" t="s">
        <v>268</v>
      </c>
      <c r="B60" s="6" t="s">
        <v>194</v>
      </c>
      <c r="C60" s="9" t="str">
        <f aca="false">'Item Catalog'!$B$13</f>
        <v>ITM-011 · UMBRELLA SEAL FOR ROUND LW</v>
      </c>
      <c r="D60" s="6" t="s">
        <v>200</v>
      </c>
      <c r="E60" s="6" t="n">
        <v>8</v>
      </c>
      <c r="F60" s="9" t="s">
        <v>201</v>
      </c>
      <c r="G60" s="6" t="s">
        <v>196</v>
      </c>
      <c r="H60" s="6" t="s">
        <v>202</v>
      </c>
      <c r="I60" s="6" t="s">
        <v>198</v>
      </c>
    </row>
    <row r="61" customFormat="false" ht="15" hidden="false" customHeight="false" outlineLevel="0" collapsed="false">
      <c r="A61" s="6" t="s">
        <v>269</v>
      </c>
      <c r="B61" s="6" t="s">
        <v>194</v>
      </c>
      <c r="C61" s="9" t="str">
        <f aca="false">'Item Catalog'!$B$13</f>
        <v>ITM-011 · UMBRELLA SEAL FOR ROUND LW</v>
      </c>
      <c r="D61" s="6" t="s">
        <v>200</v>
      </c>
      <c r="E61" s="6" t="n">
        <v>2</v>
      </c>
      <c r="F61" s="9" t="s">
        <v>206</v>
      </c>
      <c r="G61" s="6" t="s">
        <v>196</v>
      </c>
      <c r="H61" s="6" t="s">
        <v>202</v>
      </c>
      <c r="I61" s="6" t="s">
        <v>198</v>
      </c>
    </row>
    <row r="62" customFormat="false" ht="15" hidden="false" customHeight="false" outlineLevel="0" collapsed="false">
      <c r="A62" s="6" t="s">
        <v>270</v>
      </c>
      <c r="B62" s="6" t="s">
        <v>194</v>
      </c>
      <c r="C62" s="9" t="str">
        <f aca="false">'Item Catalog'!$B$13</f>
        <v>ITM-011 · UMBRELLA SEAL FOR ROUND LW</v>
      </c>
      <c r="D62" s="6" t="s">
        <v>200</v>
      </c>
      <c r="E62" s="6" t="n">
        <v>20</v>
      </c>
      <c r="F62" s="9" t="s">
        <v>263</v>
      </c>
      <c r="G62" s="6" t="s">
        <v>196</v>
      </c>
      <c r="H62" s="6" t="s">
        <v>202</v>
      </c>
      <c r="I62" s="6" t="s">
        <v>198</v>
      </c>
    </row>
    <row r="63" customFormat="false" ht="15" hidden="false" customHeight="false" outlineLevel="0" collapsed="false">
      <c r="A63" s="6" t="s">
        <v>271</v>
      </c>
      <c r="B63" s="6" t="s">
        <v>194</v>
      </c>
      <c r="C63" s="9" t="str">
        <f aca="false">'Item Catalog'!$B$13</f>
        <v>ITM-011 · UMBRELLA SEAL FOR ROUND LW</v>
      </c>
      <c r="D63" s="6" t="s">
        <v>200</v>
      </c>
      <c r="E63" s="6" t="n">
        <v>2</v>
      </c>
      <c r="F63" s="9" t="s">
        <v>210</v>
      </c>
      <c r="G63" s="6" t="s">
        <v>196</v>
      </c>
      <c r="H63" s="6" t="s">
        <v>202</v>
      </c>
      <c r="I63" s="6" t="s">
        <v>198</v>
      </c>
    </row>
    <row r="64" customFormat="false" ht="15" hidden="false" customHeight="false" outlineLevel="0" collapsed="false">
      <c r="A64" s="6" t="s">
        <v>272</v>
      </c>
      <c r="B64" s="6" t="s">
        <v>194</v>
      </c>
      <c r="C64" s="9" t="str">
        <f aca="false">'Item Catalog'!$B$13</f>
        <v>ITM-011 · UMBRELLA SEAL FOR ROUND LW</v>
      </c>
      <c r="D64" s="6" t="s">
        <v>200</v>
      </c>
      <c r="E64" s="6" t="n">
        <v>1</v>
      </c>
      <c r="F64" s="9" t="s">
        <v>273</v>
      </c>
      <c r="G64" s="6" t="s">
        <v>196</v>
      </c>
      <c r="H64" s="6" t="s">
        <v>202</v>
      </c>
      <c r="I64" s="6" t="s">
        <v>198</v>
      </c>
    </row>
    <row r="65" customFormat="false" ht="15" hidden="false" customHeight="false" outlineLevel="0" collapsed="false">
      <c r="A65" s="6" t="s">
        <v>274</v>
      </c>
      <c r="B65" s="6" t="s">
        <v>194</v>
      </c>
      <c r="C65" s="9" t="str">
        <f aca="false">'Item Catalog'!$B$14</f>
        <v>ITM-012 · UMBRELLA SEAL FOR ROUND LW (CLASS B)</v>
      </c>
      <c r="D65" s="6" t="s">
        <v>195</v>
      </c>
      <c r="E65" s="6" t="n">
        <v>50</v>
      </c>
      <c r="F65" s="9"/>
      <c r="G65" s="6" t="s">
        <v>196</v>
      </c>
      <c r="H65" s="6" t="s">
        <v>197</v>
      </c>
      <c r="I65" s="6" t="s">
        <v>198</v>
      </c>
    </row>
    <row r="66" customFormat="false" ht="15" hidden="false" customHeight="false" outlineLevel="0" collapsed="false">
      <c r="A66" s="6" t="s">
        <v>275</v>
      </c>
      <c r="B66" s="6" t="s">
        <v>194</v>
      </c>
      <c r="C66" s="9" t="str">
        <f aca="false">'Item Catalog'!$B$15</f>
        <v>ITM-013 · BIG CAP SEAL FOR SLIM GENERIC</v>
      </c>
      <c r="D66" s="6" t="s">
        <v>195</v>
      </c>
      <c r="E66" s="6" t="n">
        <v>100</v>
      </c>
      <c r="F66" s="9"/>
      <c r="G66" s="6" t="s">
        <v>196</v>
      </c>
      <c r="H66" s="6" t="s">
        <v>197</v>
      </c>
      <c r="I66" s="6" t="s">
        <v>198</v>
      </c>
    </row>
    <row r="67" customFormat="false" ht="15" hidden="false" customHeight="false" outlineLevel="0" collapsed="false">
      <c r="A67" s="6" t="s">
        <v>276</v>
      </c>
      <c r="B67" s="6" t="s">
        <v>194</v>
      </c>
      <c r="C67" s="9" t="str">
        <f aca="false">'Item Catalog'!$B$15</f>
        <v>ITM-013 · BIG CAP SEAL FOR SLIM GENERIC</v>
      </c>
      <c r="D67" s="6" t="s">
        <v>200</v>
      </c>
      <c r="E67" s="6" t="n">
        <v>5</v>
      </c>
      <c r="F67" s="9" t="s">
        <v>204</v>
      </c>
      <c r="G67" s="6" t="s">
        <v>196</v>
      </c>
      <c r="H67" s="6" t="s">
        <v>202</v>
      </c>
      <c r="I67" s="6" t="s">
        <v>198</v>
      </c>
    </row>
    <row r="68" customFormat="false" ht="15" hidden="false" customHeight="false" outlineLevel="0" collapsed="false">
      <c r="A68" s="6" t="s">
        <v>277</v>
      </c>
      <c r="B68" s="6" t="s">
        <v>194</v>
      </c>
      <c r="C68" s="9" t="str">
        <f aca="false">'Item Catalog'!$B$15</f>
        <v>ITM-013 · BIG CAP SEAL FOR SLIM GENERIC</v>
      </c>
      <c r="D68" s="6" t="s">
        <v>200</v>
      </c>
      <c r="E68" s="6" t="n">
        <v>11</v>
      </c>
      <c r="F68" s="9" t="s">
        <v>206</v>
      </c>
      <c r="G68" s="6" t="s">
        <v>196</v>
      </c>
      <c r="H68" s="6" t="s">
        <v>202</v>
      </c>
      <c r="I68" s="6" t="s">
        <v>198</v>
      </c>
    </row>
    <row r="69" customFormat="false" ht="15" hidden="false" customHeight="false" outlineLevel="0" collapsed="false">
      <c r="A69" s="6" t="s">
        <v>278</v>
      </c>
      <c r="B69" s="6" t="s">
        <v>194</v>
      </c>
      <c r="C69" s="9" t="str">
        <f aca="false">'Item Catalog'!$B$15</f>
        <v>ITM-013 · BIG CAP SEAL FOR SLIM GENERIC</v>
      </c>
      <c r="D69" s="6" t="s">
        <v>200</v>
      </c>
      <c r="E69" s="6" t="n">
        <v>3</v>
      </c>
      <c r="F69" s="9" t="s">
        <v>208</v>
      </c>
      <c r="G69" s="6" t="s">
        <v>196</v>
      </c>
      <c r="H69" s="6" t="s">
        <v>202</v>
      </c>
      <c r="I69" s="6" t="s">
        <v>198</v>
      </c>
    </row>
    <row r="70" customFormat="false" ht="15" hidden="false" customHeight="false" outlineLevel="0" collapsed="false">
      <c r="A70" s="6" t="s">
        <v>279</v>
      </c>
      <c r="B70" s="6" t="s">
        <v>194</v>
      </c>
      <c r="C70" s="9" t="str">
        <f aca="false">'Item Catalog'!$B$15</f>
        <v>ITM-013 · BIG CAP SEAL FOR SLIM GENERIC</v>
      </c>
      <c r="D70" s="6" t="s">
        <v>200</v>
      </c>
      <c r="E70" s="6" t="n">
        <v>5</v>
      </c>
      <c r="F70" s="9" t="s">
        <v>210</v>
      </c>
      <c r="G70" s="6" t="s">
        <v>196</v>
      </c>
      <c r="H70" s="6" t="s">
        <v>202</v>
      </c>
      <c r="I70" s="6" t="s">
        <v>198</v>
      </c>
    </row>
    <row r="71" customFormat="false" ht="15" hidden="false" customHeight="false" outlineLevel="0" collapsed="false">
      <c r="A71" s="6" t="s">
        <v>280</v>
      </c>
      <c r="B71" s="6" t="s">
        <v>194</v>
      </c>
      <c r="C71" s="9" t="str">
        <f aca="false">'Item Catalog'!$B$15</f>
        <v>ITM-013 · BIG CAP SEAL FOR SLIM GENERIC</v>
      </c>
      <c r="D71" s="6" t="s">
        <v>200</v>
      </c>
      <c r="E71" s="6" t="n">
        <v>5</v>
      </c>
      <c r="F71" s="9" t="s">
        <v>212</v>
      </c>
      <c r="G71" s="6" t="s">
        <v>196</v>
      </c>
      <c r="H71" s="6" t="s">
        <v>202</v>
      </c>
      <c r="I71" s="6" t="s">
        <v>198</v>
      </c>
    </row>
    <row r="72" customFormat="false" ht="15" hidden="false" customHeight="false" outlineLevel="0" collapsed="false">
      <c r="A72" s="6" t="s">
        <v>281</v>
      </c>
      <c r="B72" s="6" t="s">
        <v>194</v>
      </c>
      <c r="C72" s="9" t="str">
        <f aca="false">'Item Catalog'!$B$15</f>
        <v>ITM-013 · BIG CAP SEAL FOR SLIM GENERIC</v>
      </c>
      <c r="D72" s="6" t="s">
        <v>200</v>
      </c>
      <c r="E72" s="6" t="n">
        <v>14</v>
      </c>
      <c r="F72" s="9" t="s">
        <v>214</v>
      </c>
      <c r="G72" s="6" t="s">
        <v>196</v>
      </c>
      <c r="H72" s="6" t="s">
        <v>202</v>
      </c>
      <c r="I72" s="6" t="s">
        <v>198</v>
      </c>
    </row>
    <row r="73" customFormat="false" ht="15" hidden="false" customHeight="false" outlineLevel="0" collapsed="false">
      <c r="A73" s="6" t="s">
        <v>282</v>
      </c>
      <c r="B73" s="6" t="s">
        <v>194</v>
      </c>
      <c r="C73" s="9" t="str">
        <f aca="false">'Item Catalog'!$B$15</f>
        <v>ITM-013 · BIG CAP SEAL FOR SLIM GENERIC</v>
      </c>
      <c r="D73" s="6" t="s">
        <v>200</v>
      </c>
      <c r="E73" s="6" t="n">
        <v>20</v>
      </c>
      <c r="F73" s="9" t="s">
        <v>216</v>
      </c>
      <c r="G73" s="6" t="s">
        <v>196</v>
      </c>
      <c r="H73" s="6" t="s">
        <v>202</v>
      </c>
      <c r="I73" s="6" t="s">
        <v>198</v>
      </c>
    </row>
    <row r="74" customFormat="false" ht="15" hidden="false" customHeight="false" outlineLevel="0" collapsed="false">
      <c r="A74" s="6" t="s">
        <v>283</v>
      </c>
      <c r="B74" s="6" t="s">
        <v>194</v>
      </c>
      <c r="C74" s="9" t="str">
        <f aca="false">'Item Catalog'!$B$15</f>
        <v>ITM-013 · BIG CAP SEAL FOR SLIM GENERIC</v>
      </c>
      <c r="D74" s="6" t="s">
        <v>200</v>
      </c>
      <c r="E74" s="6" t="n">
        <v>10</v>
      </c>
      <c r="F74" s="9" t="s">
        <v>218</v>
      </c>
      <c r="G74" s="6" t="s">
        <v>196</v>
      </c>
      <c r="H74" s="6" t="s">
        <v>202</v>
      </c>
      <c r="I74" s="6" t="s">
        <v>198</v>
      </c>
    </row>
    <row r="75" customFormat="false" ht="15" hidden="false" customHeight="false" outlineLevel="0" collapsed="false">
      <c r="A75" s="6" t="s">
        <v>284</v>
      </c>
      <c r="B75" s="6" t="s">
        <v>194</v>
      </c>
      <c r="C75" s="9" t="str">
        <f aca="false">'Item Catalog'!$B$15</f>
        <v>ITM-013 · BIG CAP SEAL FOR SLIM GENERIC</v>
      </c>
      <c r="D75" s="6" t="s">
        <v>200</v>
      </c>
      <c r="E75" s="6" t="n">
        <v>1</v>
      </c>
      <c r="F75" s="9" t="s">
        <v>273</v>
      </c>
      <c r="G75" s="6" t="s">
        <v>196</v>
      </c>
      <c r="H75" s="6" t="s">
        <v>202</v>
      </c>
      <c r="I75" s="6" t="s">
        <v>198</v>
      </c>
    </row>
    <row r="76" customFormat="false" ht="15" hidden="false" customHeight="false" outlineLevel="0" collapsed="false">
      <c r="A76" s="6" t="s">
        <v>285</v>
      </c>
      <c r="B76" s="6" t="s">
        <v>194</v>
      </c>
      <c r="C76" s="9" t="str">
        <f aca="false">'Item Catalog'!$B$15</f>
        <v>ITM-013 · BIG CAP SEAL FOR SLIM GENERIC</v>
      </c>
      <c r="D76" s="6" t="s">
        <v>200</v>
      </c>
      <c r="E76" s="6" t="n">
        <v>2</v>
      </c>
      <c r="F76" s="9" t="s">
        <v>286</v>
      </c>
      <c r="G76" s="6" t="s">
        <v>196</v>
      </c>
      <c r="H76" s="6" t="s">
        <v>202</v>
      </c>
      <c r="I76" s="6" t="s">
        <v>198</v>
      </c>
    </row>
    <row r="77" customFormat="false" ht="15" hidden="false" customHeight="false" outlineLevel="0" collapsed="false">
      <c r="A77" s="6" t="s">
        <v>287</v>
      </c>
      <c r="B77" s="6" t="s">
        <v>194</v>
      </c>
      <c r="C77" s="9" t="str">
        <f aca="false">'Item Catalog'!$B$15</f>
        <v>ITM-013 · BIG CAP SEAL FOR SLIM GENERIC</v>
      </c>
      <c r="D77" s="6" t="s">
        <v>200</v>
      </c>
      <c r="E77" s="6" t="n">
        <v>19</v>
      </c>
      <c r="F77" s="9" t="s">
        <v>220</v>
      </c>
      <c r="G77" s="6" t="s">
        <v>196</v>
      </c>
      <c r="H77" s="6" t="s">
        <v>202</v>
      </c>
      <c r="I77" s="6" t="s">
        <v>198</v>
      </c>
    </row>
    <row r="78" customFormat="false" ht="15" hidden="false" customHeight="false" outlineLevel="0" collapsed="false">
      <c r="A78" s="6" t="s">
        <v>288</v>
      </c>
      <c r="B78" s="6" t="s">
        <v>194</v>
      </c>
      <c r="C78" s="9" t="str">
        <f aca="false">'Item Catalog'!$B$15</f>
        <v>ITM-013 · BIG CAP SEAL FOR SLIM GENERIC</v>
      </c>
      <c r="D78" s="6" t="s">
        <v>200</v>
      </c>
      <c r="E78" s="6" t="n">
        <v>5</v>
      </c>
      <c r="F78" s="9" t="s">
        <v>289</v>
      </c>
      <c r="G78" s="6" t="s">
        <v>196</v>
      </c>
      <c r="H78" s="6" t="s">
        <v>202</v>
      </c>
      <c r="I78" s="6" t="s">
        <v>198</v>
      </c>
    </row>
    <row r="79" customFormat="false" ht="15" hidden="false" customHeight="false" outlineLevel="0" collapsed="false">
      <c r="A79" s="6" t="s">
        <v>290</v>
      </c>
      <c r="B79" s="6" t="s">
        <v>194</v>
      </c>
      <c r="C79" s="9" t="str">
        <f aca="false">'Item Catalog'!$B$16</f>
        <v>ITM-014 · SMALL CAP SEAL FOR SLIM GENERIC</v>
      </c>
      <c r="D79" s="6" t="s">
        <v>195</v>
      </c>
      <c r="E79" s="6" t="n">
        <v>100</v>
      </c>
      <c r="F79" s="9"/>
      <c r="G79" s="6" t="s">
        <v>196</v>
      </c>
      <c r="H79" s="6" t="s">
        <v>197</v>
      </c>
      <c r="I79" s="6" t="s">
        <v>198</v>
      </c>
    </row>
    <row r="80" customFormat="false" ht="15" hidden="false" customHeight="false" outlineLevel="0" collapsed="false">
      <c r="A80" s="6" t="s">
        <v>291</v>
      </c>
      <c r="B80" s="6" t="s">
        <v>194</v>
      </c>
      <c r="C80" s="9" t="str">
        <f aca="false">'Item Catalog'!$B$16</f>
        <v>ITM-014 · SMALL CAP SEAL FOR SLIM GENERIC</v>
      </c>
      <c r="D80" s="6" t="s">
        <v>200</v>
      </c>
      <c r="E80" s="6" t="n">
        <v>1</v>
      </c>
      <c r="F80" s="9" t="s">
        <v>201</v>
      </c>
      <c r="G80" s="6" t="s">
        <v>196</v>
      </c>
      <c r="H80" s="6" t="s">
        <v>202</v>
      </c>
      <c r="I80" s="6" t="s">
        <v>198</v>
      </c>
    </row>
    <row r="81" customFormat="false" ht="15" hidden="false" customHeight="false" outlineLevel="0" collapsed="false">
      <c r="A81" s="6" t="s">
        <v>292</v>
      </c>
      <c r="B81" s="6" t="s">
        <v>194</v>
      </c>
      <c r="C81" s="9" t="str">
        <f aca="false">'Item Catalog'!$B$16</f>
        <v>ITM-014 · SMALL CAP SEAL FOR SLIM GENERIC</v>
      </c>
      <c r="D81" s="6" t="s">
        <v>200</v>
      </c>
      <c r="E81" s="6" t="n">
        <v>1</v>
      </c>
      <c r="F81" s="9" t="s">
        <v>204</v>
      </c>
      <c r="G81" s="6" t="s">
        <v>196</v>
      </c>
      <c r="H81" s="6" t="s">
        <v>202</v>
      </c>
      <c r="I81" s="6" t="s">
        <v>198</v>
      </c>
    </row>
    <row r="82" customFormat="false" ht="15" hidden="false" customHeight="false" outlineLevel="0" collapsed="false">
      <c r="A82" s="6" t="s">
        <v>293</v>
      </c>
      <c r="B82" s="6" t="s">
        <v>194</v>
      </c>
      <c r="C82" s="9" t="str">
        <f aca="false">'Item Catalog'!$B$16</f>
        <v>ITM-014 · SMALL CAP SEAL FOR SLIM GENERIC</v>
      </c>
      <c r="D82" s="6" t="s">
        <v>200</v>
      </c>
      <c r="E82" s="6" t="n">
        <v>4</v>
      </c>
      <c r="F82" s="9" t="s">
        <v>206</v>
      </c>
      <c r="G82" s="6" t="s">
        <v>196</v>
      </c>
      <c r="H82" s="6" t="s">
        <v>202</v>
      </c>
      <c r="I82" s="6" t="s">
        <v>198</v>
      </c>
    </row>
    <row r="83" customFormat="false" ht="15" hidden="false" customHeight="false" outlineLevel="0" collapsed="false">
      <c r="A83" s="6" t="s">
        <v>294</v>
      </c>
      <c r="B83" s="6" t="s">
        <v>194</v>
      </c>
      <c r="C83" s="9" t="str">
        <f aca="false">'Item Catalog'!$B$16</f>
        <v>ITM-014 · SMALL CAP SEAL FOR SLIM GENERIC</v>
      </c>
      <c r="D83" s="6" t="s">
        <v>200</v>
      </c>
      <c r="E83" s="6" t="n">
        <v>1</v>
      </c>
      <c r="F83" s="9" t="s">
        <v>208</v>
      </c>
      <c r="G83" s="6" t="s">
        <v>196</v>
      </c>
      <c r="H83" s="6" t="s">
        <v>202</v>
      </c>
      <c r="I83" s="6" t="s">
        <v>198</v>
      </c>
    </row>
    <row r="84" customFormat="false" ht="15" hidden="false" customHeight="false" outlineLevel="0" collapsed="false">
      <c r="A84" s="6" t="s">
        <v>295</v>
      </c>
      <c r="B84" s="6" t="s">
        <v>194</v>
      </c>
      <c r="C84" s="9" t="str">
        <f aca="false">'Item Catalog'!$B$16</f>
        <v>ITM-014 · SMALL CAP SEAL FOR SLIM GENERIC</v>
      </c>
      <c r="D84" s="6" t="s">
        <v>200</v>
      </c>
      <c r="E84" s="6" t="n">
        <v>5</v>
      </c>
      <c r="F84" s="9" t="s">
        <v>212</v>
      </c>
      <c r="G84" s="6" t="s">
        <v>196</v>
      </c>
      <c r="H84" s="6" t="s">
        <v>202</v>
      </c>
      <c r="I84" s="6" t="s">
        <v>198</v>
      </c>
    </row>
    <row r="85" customFormat="false" ht="15" hidden="false" customHeight="false" outlineLevel="0" collapsed="false">
      <c r="A85" s="6" t="s">
        <v>296</v>
      </c>
      <c r="B85" s="6" t="s">
        <v>194</v>
      </c>
      <c r="C85" s="9" t="str">
        <f aca="false">'Item Catalog'!$B$16</f>
        <v>ITM-014 · SMALL CAP SEAL FOR SLIM GENERIC</v>
      </c>
      <c r="D85" s="6" t="s">
        <v>200</v>
      </c>
      <c r="E85" s="6" t="n">
        <v>5</v>
      </c>
      <c r="F85" s="9" t="s">
        <v>214</v>
      </c>
      <c r="G85" s="6" t="s">
        <v>196</v>
      </c>
      <c r="H85" s="6" t="s">
        <v>202</v>
      </c>
      <c r="I85" s="6" t="s">
        <v>198</v>
      </c>
    </row>
    <row r="86" customFormat="false" ht="15" hidden="false" customHeight="false" outlineLevel="0" collapsed="false">
      <c r="A86" s="6" t="s">
        <v>297</v>
      </c>
      <c r="B86" s="6" t="s">
        <v>194</v>
      </c>
      <c r="C86" s="9" t="str">
        <f aca="false">'Item Catalog'!$B$16</f>
        <v>ITM-014 · SMALL CAP SEAL FOR SLIM GENERIC</v>
      </c>
      <c r="D86" s="6" t="s">
        <v>200</v>
      </c>
      <c r="E86" s="6" t="n">
        <v>5</v>
      </c>
      <c r="F86" s="9" t="s">
        <v>216</v>
      </c>
      <c r="G86" s="6" t="s">
        <v>196</v>
      </c>
      <c r="H86" s="6" t="s">
        <v>202</v>
      </c>
      <c r="I86" s="6" t="s">
        <v>198</v>
      </c>
    </row>
    <row r="87" customFormat="false" ht="15" hidden="false" customHeight="false" outlineLevel="0" collapsed="false">
      <c r="A87" s="6" t="s">
        <v>298</v>
      </c>
      <c r="B87" s="6" t="s">
        <v>194</v>
      </c>
      <c r="C87" s="9" t="str">
        <f aca="false">'Item Catalog'!$B$16</f>
        <v>ITM-014 · SMALL CAP SEAL FOR SLIM GENERIC</v>
      </c>
      <c r="D87" s="6" t="s">
        <v>200</v>
      </c>
      <c r="E87" s="6" t="n">
        <v>4</v>
      </c>
      <c r="F87" s="9" t="s">
        <v>218</v>
      </c>
      <c r="G87" s="6" t="s">
        <v>196</v>
      </c>
      <c r="H87" s="6" t="s">
        <v>202</v>
      </c>
      <c r="I87" s="6" t="s">
        <v>198</v>
      </c>
    </row>
    <row r="88" customFormat="false" ht="15" hidden="false" customHeight="false" outlineLevel="0" collapsed="false">
      <c r="A88" s="6" t="s">
        <v>299</v>
      </c>
      <c r="B88" s="6" t="s">
        <v>194</v>
      </c>
      <c r="C88" s="9" t="str">
        <f aca="false">'Item Catalog'!$B$16</f>
        <v>ITM-014 · SMALL CAP SEAL FOR SLIM GENERIC</v>
      </c>
      <c r="D88" s="6" t="s">
        <v>200</v>
      </c>
      <c r="E88" s="6" t="n">
        <v>1</v>
      </c>
      <c r="F88" s="9" t="s">
        <v>273</v>
      </c>
      <c r="G88" s="6" t="s">
        <v>196</v>
      </c>
      <c r="H88" s="6" t="s">
        <v>202</v>
      </c>
      <c r="I88" s="6" t="s">
        <v>198</v>
      </c>
    </row>
    <row r="89" customFormat="false" ht="15" hidden="false" customHeight="false" outlineLevel="0" collapsed="false">
      <c r="A89" s="6" t="s">
        <v>300</v>
      </c>
      <c r="B89" s="6" t="s">
        <v>194</v>
      </c>
      <c r="C89" s="9" t="str">
        <f aca="false">'Item Catalog'!$B$16</f>
        <v>ITM-014 · SMALL CAP SEAL FOR SLIM GENERIC</v>
      </c>
      <c r="D89" s="6" t="s">
        <v>200</v>
      </c>
      <c r="E89" s="6" t="n">
        <v>2</v>
      </c>
      <c r="F89" s="9" t="s">
        <v>286</v>
      </c>
      <c r="G89" s="6" t="s">
        <v>196</v>
      </c>
      <c r="H89" s="6" t="s">
        <v>202</v>
      </c>
      <c r="I89" s="6" t="s">
        <v>198</v>
      </c>
    </row>
    <row r="90" customFormat="false" ht="15" hidden="false" customHeight="false" outlineLevel="0" collapsed="false">
      <c r="A90" s="6" t="s">
        <v>301</v>
      </c>
      <c r="B90" s="6" t="s">
        <v>194</v>
      </c>
      <c r="C90" s="9" t="str">
        <f aca="false">'Item Catalog'!$B$16</f>
        <v>ITM-014 · SMALL CAP SEAL FOR SLIM GENERIC</v>
      </c>
      <c r="D90" s="6" t="s">
        <v>200</v>
      </c>
      <c r="E90" s="6" t="n">
        <v>7</v>
      </c>
      <c r="F90" s="9" t="s">
        <v>220</v>
      </c>
      <c r="G90" s="6" t="s">
        <v>196</v>
      </c>
      <c r="H90" s="6" t="s">
        <v>202</v>
      </c>
      <c r="I90" s="6" t="s">
        <v>198</v>
      </c>
    </row>
    <row r="91" customFormat="false" ht="15" hidden="false" customHeight="false" outlineLevel="0" collapsed="false">
      <c r="A91" s="6" t="s">
        <v>302</v>
      </c>
      <c r="B91" s="6" t="s">
        <v>194</v>
      </c>
      <c r="C91" s="9" t="str">
        <f aca="false">'Item Catalog'!$B$17</f>
        <v>ITM-015 · FAUCET SEAL FOR SLIM GENERIC</v>
      </c>
      <c r="D91" s="6" t="s">
        <v>195</v>
      </c>
      <c r="E91" s="6" t="n">
        <v>100</v>
      </c>
      <c r="F91" s="9"/>
      <c r="G91" s="6" t="s">
        <v>196</v>
      </c>
      <c r="H91" s="6" t="s">
        <v>197</v>
      </c>
      <c r="I91" s="6" t="s">
        <v>198</v>
      </c>
    </row>
    <row r="92" customFormat="false" ht="15" hidden="false" customHeight="false" outlineLevel="0" collapsed="false">
      <c r="A92" s="6" t="s">
        <v>303</v>
      </c>
      <c r="B92" s="6" t="s">
        <v>194</v>
      </c>
      <c r="C92" s="9" t="str">
        <f aca="false">'Item Catalog'!$B$17</f>
        <v>ITM-015 · FAUCET SEAL FOR SLIM GENERIC</v>
      </c>
      <c r="D92" s="6" t="s">
        <v>200</v>
      </c>
      <c r="E92" s="6" t="n">
        <v>2</v>
      </c>
      <c r="F92" s="9" t="s">
        <v>201</v>
      </c>
      <c r="G92" s="6" t="s">
        <v>196</v>
      </c>
      <c r="H92" s="6" t="s">
        <v>202</v>
      </c>
      <c r="I92" s="6" t="s">
        <v>198</v>
      </c>
    </row>
    <row r="93" customFormat="false" ht="15" hidden="false" customHeight="false" outlineLevel="0" collapsed="false">
      <c r="A93" s="6" t="s">
        <v>304</v>
      </c>
      <c r="B93" s="6" t="s">
        <v>194</v>
      </c>
      <c r="C93" s="9" t="str">
        <f aca="false">'Item Catalog'!$B$17</f>
        <v>ITM-015 · FAUCET SEAL FOR SLIM GENERIC</v>
      </c>
      <c r="D93" s="6" t="s">
        <v>200</v>
      </c>
      <c r="E93" s="6" t="n">
        <v>1</v>
      </c>
      <c r="F93" s="9" t="s">
        <v>204</v>
      </c>
      <c r="G93" s="6" t="s">
        <v>196</v>
      </c>
      <c r="H93" s="6" t="s">
        <v>202</v>
      </c>
      <c r="I93" s="6" t="s">
        <v>198</v>
      </c>
    </row>
    <row r="94" customFormat="false" ht="15" hidden="false" customHeight="false" outlineLevel="0" collapsed="false">
      <c r="A94" s="6" t="s">
        <v>305</v>
      </c>
      <c r="B94" s="6" t="s">
        <v>194</v>
      </c>
      <c r="C94" s="9" t="str">
        <f aca="false">'Item Catalog'!$B$17</f>
        <v>ITM-015 · FAUCET SEAL FOR SLIM GENERIC</v>
      </c>
      <c r="D94" s="6" t="s">
        <v>200</v>
      </c>
      <c r="E94" s="6" t="n">
        <v>28</v>
      </c>
      <c r="F94" s="9" t="s">
        <v>206</v>
      </c>
      <c r="G94" s="6" t="s">
        <v>196</v>
      </c>
      <c r="H94" s="6" t="s">
        <v>202</v>
      </c>
      <c r="I94" s="6" t="s">
        <v>198</v>
      </c>
    </row>
    <row r="95" customFormat="false" ht="15" hidden="false" customHeight="false" outlineLevel="0" collapsed="false">
      <c r="A95" s="6" t="s">
        <v>306</v>
      </c>
      <c r="B95" s="6" t="s">
        <v>194</v>
      </c>
      <c r="C95" s="9" t="str">
        <f aca="false">'Item Catalog'!$B$17</f>
        <v>ITM-015 · FAUCET SEAL FOR SLIM GENERIC</v>
      </c>
      <c r="D95" s="6" t="s">
        <v>200</v>
      </c>
      <c r="E95" s="6" t="n">
        <v>2</v>
      </c>
      <c r="F95" s="9" t="s">
        <v>208</v>
      </c>
      <c r="G95" s="6" t="s">
        <v>196</v>
      </c>
      <c r="H95" s="6" t="s">
        <v>202</v>
      </c>
      <c r="I95" s="6" t="s">
        <v>198</v>
      </c>
    </row>
    <row r="96" customFormat="false" ht="15" hidden="false" customHeight="false" outlineLevel="0" collapsed="false">
      <c r="A96" s="6" t="s">
        <v>307</v>
      </c>
      <c r="B96" s="6" t="s">
        <v>194</v>
      </c>
      <c r="C96" s="9" t="str">
        <f aca="false">'Item Catalog'!$B$17</f>
        <v>ITM-015 · FAUCET SEAL FOR SLIM GENERIC</v>
      </c>
      <c r="D96" s="6" t="s">
        <v>200</v>
      </c>
      <c r="E96" s="6" t="n">
        <v>5</v>
      </c>
      <c r="F96" s="9" t="s">
        <v>212</v>
      </c>
      <c r="G96" s="6" t="s">
        <v>196</v>
      </c>
      <c r="H96" s="6" t="s">
        <v>202</v>
      </c>
      <c r="I96" s="6" t="s">
        <v>198</v>
      </c>
    </row>
    <row r="97" customFormat="false" ht="15" hidden="false" customHeight="false" outlineLevel="0" collapsed="false">
      <c r="A97" s="6" t="s">
        <v>308</v>
      </c>
      <c r="B97" s="6" t="s">
        <v>194</v>
      </c>
      <c r="C97" s="9" t="str">
        <f aca="false">'Item Catalog'!$B$17</f>
        <v>ITM-015 · FAUCET SEAL FOR SLIM GENERIC</v>
      </c>
      <c r="D97" s="6" t="s">
        <v>200</v>
      </c>
      <c r="E97" s="6" t="n">
        <v>25</v>
      </c>
      <c r="F97" s="9" t="s">
        <v>214</v>
      </c>
      <c r="G97" s="6" t="s">
        <v>196</v>
      </c>
      <c r="H97" s="6" t="s">
        <v>202</v>
      </c>
      <c r="I97" s="6" t="s">
        <v>198</v>
      </c>
    </row>
    <row r="98" customFormat="false" ht="15" hidden="false" customHeight="false" outlineLevel="0" collapsed="false">
      <c r="A98" s="6" t="s">
        <v>309</v>
      </c>
      <c r="B98" s="6" t="s">
        <v>194</v>
      </c>
      <c r="C98" s="9" t="str">
        <f aca="false">'Item Catalog'!$B$17</f>
        <v>ITM-015 · FAUCET SEAL FOR SLIM GENERIC</v>
      </c>
      <c r="D98" s="6" t="s">
        <v>200</v>
      </c>
      <c r="E98" s="6" t="n">
        <v>19</v>
      </c>
      <c r="F98" s="9" t="s">
        <v>216</v>
      </c>
      <c r="G98" s="6" t="s">
        <v>196</v>
      </c>
      <c r="H98" s="6" t="s">
        <v>202</v>
      </c>
      <c r="I98" s="6" t="s">
        <v>198</v>
      </c>
    </row>
    <row r="99" customFormat="false" ht="15" hidden="false" customHeight="false" outlineLevel="0" collapsed="false">
      <c r="A99" s="6" t="s">
        <v>310</v>
      </c>
      <c r="B99" s="6" t="s">
        <v>194</v>
      </c>
      <c r="C99" s="9" t="str">
        <f aca="false">'Item Catalog'!$B$17</f>
        <v>ITM-015 · FAUCET SEAL FOR SLIM GENERIC</v>
      </c>
      <c r="D99" s="6" t="s">
        <v>200</v>
      </c>
      <c r="E99" s="6" t="n">
        <v>3</v>
      </c>
      <c r="F99" s="9" t="s">
        <v>218</v>
      </c>
      <c r="G99" s="6" t="s">
        <v>196</v>
      </c>
      <c r="H99" s="6" t="s">
        <v>202</v>
      </c>
      <c r="I99" s="6" t="s">
        <v>198</v>
      </c>
    </row>
    <row r="100" customFormat="false" ht="15" hidden="false" customHeight="false" outlineLevel="0" collapsed="false">
      <c r="A100" s="6" t="s">
        <v>311</v>
      </c>
      <c r="B100" s="6" t="s">
        <v>194</v>
      </c>
      <c r="C100" s="9" t="str">
        <f aca="false">'Item Catalog'!$B$17</f>
        <v>ITM-015 · FAUCET SEAL FOR SLIM GENERIC</v>
      </c>
      <c r="D100" s="6" t="s">
        <v>200</v>
      </c>
      <c r="E100" s="6" t="n">
        <v>2</v>
      </c>
      <c r="F100" s="9" t="s">
        <v>273</v>
      </c>
      <c r="G100" s="6" t="s">
        <v>196</v>
      </c>
      <c r="H100" s="6" t="s">
        <v>202</v>
      </c>
      <c r="I100" s="6" t="s">
        <v>198</v>
      </c>
    </row>
    <row r="101" customFormat="false" ht="15" hidden="false" customHeight="false" outlineLevel="0" collapsed="false">
      <c r="A101" s="6" t="s">
        <v>312</v>
      </c>
      <c r="B101" s="6" t="s">
        <v>194</v>
      </c>
      <c r="C101" s="9" t="str">
        <f aca="false">'Item Catalog'!$B$17</f>
        <v>ITM-015 · FAUCET SEAL FOR SLIM GENERIC</v>
      </c>
      <c r="D101" s="6" t="s">
        <v>200</v>
      </c>
      <c r="E101" s="6" t="n">
        <v>8</v>
      </c>
      <c r="F101" s="9" t="s">
        <v>220</v>
      </c>
      <c r="G101" s="6" t="s">
        <v>196</v>
      </c>
      <c r="H101" s="6" t="s">
        <v>202</v>
      </c>
      <c r="I101" s="6" t="s">
        <v>198</v>
      </c>
    </row>
    <row r="102" customFormat="false" ht="15" hidden="false" customHeight="false" outlineLevel="0" collapsed="false">
      <c r="A102" s="6" t="s">
        <v>313</v>
      </c>
      <c r="B102" s="6" t="s">
        <v>194</v>
      </c>
      <c r="C102" s="9" t="str">
        <f aca="false">'Item Catalog'!$B$17</f>
        <v>ITM-015 · FAUCET SEAL FOR SLIM GENERIC</v>
      </c>
      <c r="D102" s="6" t="s">
        <v>200</v>
      </c>
      <c r="E102" s="6" t="n">
        <v>5</v>
      </c>
      <c r="F102" s="9" t="s">
        <v>289</v>
      </c>
      <c r="G102" s="6" t="s">
        <v>196</v>
      </c>
      <c r="H102" s="6" t="s">
        <v>202</v>
      </c>
      <c r="I102" s="6" t="s">
        <v>198</v>
      </c>
    </row>
    <row r="103" customFormat="false" ht="15" hidden="false" customHeight="false" outlineLevel="0" collapsed="false">
      <c r="A103" s="6" t="s">
        <v>314</v>
      </c>
      <c r="B103" s="6" t="s">
        <v>194</v>
      </c>
      <c r="C103" s="9" t="str">
        <f aca="false">'Item Catalog'!$B$18</f>
        <v>ITM-016 · FAUCET SEAL FOR SLIM GENERIC</v>
      </c>
      <c r="D103" s="6" t="s">
        <v>195</v>
      </c>
      <c r="E103" s="6" t="n">
        <v>100</v>
      </c>
      <c r="F103" s="9"/>
      <c r="G103" s="6" t="s">
        <v>196</v>
      </c>
      <c r="H103" s="6" t="s">
        <v>197</v>
      </c>
      <c r="I103" s="6" t="s">
        <v>198</v>
      </c>
    </row>
    <row r="104" customFormat="false" ht="15" hidden="false" customHeight="false" outlineLevel="0" collapsed="false">
      <c r="A104" s="6" t="s">
        <v>315</v>
      </c>
      <c r="B104" s="6" t="s">
        <v>194</v>
      </c>
      <c r="C104" s="9" t="str">
        <f aca="false">'Item Catalog'!$B$18</f>
        <v>ITM-016 · FAUCET SEAL FOR SLIM GENERIC</v>
      </c>
      <c r="D104" s="6" t="s">
        <v>200</v>
      </c>
      <c r="E104" s="6" t="n">
        <v>5</v>
      </c>
      <c r="F104" s="9" t="s">
        <v>214</v>
      </c>
      <c r="G104" s="6" t="s">
        <v>196</v>
      </c>
      <c r="H104" s="6" t="s">
        <v>202</v>
      </c>
      <c r="I104" s="6" t="s">
        <v>198</v>
      </c>
    </row>
    <row r="105" customFormat="false" ht="15" hidden="false" customHeight="false" outlineLevel="0" collapsed="false">
      <c r="A105" s="6" t="s">
        <v>316</v>
      </c>
      <c r="B105" s="6" t="s">
        <v>194</v>
      </c>
      <c r="C105" s="9" t="str">
        <f aca="false">'Item Catalog'!$B$18</f>
        <v>ITM-016 · FAUCET SEAL FOR SLIM GENERIC</v>
      </c>
      <c r="D105" s="6" t="s">
        <v>200</v>
      </c>
      <c r="E105" s="6" t="n">
        <v>1</v>
      </c>
      <c r="F105" s="9" t="s">
        <v>216</v>
      </c>
      <c r="G105" s="6" t="s">
        <v>196</v>
      </c>
      <c r="H105" s="6" t="s">
        <v>202</v>
      </c>
      <c r="I105" s="6" t="s">
        <v>198</v>
      </c>
    </row>
    <row r="106" customFormat="false" ht="15" hidden="false" customHeight="false" outlineLevel="0" collapsed="false">
      <c r="A106" s="6" t="s">
        <v>317</v>
      </c>
      <c r="B106" s="6" t="s">
        <v>194</v>
      </c>
      <c r="C106" s="9" t="str">
        <f aca="false">'Item Catalog'!$B$18</f>
        <v>ITM-016 · FAUCET SEAL FOR SLIM GENERIC</v>
      </c>
      <c r="D106" s="6" t="s">
        <v>200</v>
      </c>
      <c r="E106" s="6" t="n">
        <v>5</v>
      </c>
      <c r="F106" s="9" t="s">
        <v>220</v>
      </c>
      <c r="G106" s="6" t="s">
        <v>196</v>
      </c>
      <c r="H106" s="6" t="s">
        <v>202</v>
      </c>
      <c r="I106" s="6" t="s">
        <v>198</v>
      </c>
    </row>
    <row r="107" customFormat="false" ht="15" hidden="false" customHeight="false" outlineLevel="0" collapsed="false">
      <c r="A107" s="6" t="s">
        <v>318</v>
      </c>
      <c r="B107" s="6" t="s">
        <v>194</v>
      </c>
      <c r="C107" s="9" t="str">
        <f aca="false">'Item Catalog'!$B$19</f>
        <v>ITM-017 · UMBRELLA SEAL FOR ROUND GENERIC</v>
      </c>
      <c r="D107" s="6" t="s">
        <v>195</v>
      </c>
      <c r="E107" s="6" t="n">
        <v>100</v>
      </c>
      <c r="F107" s="9"/>
      <c r="G107" s="6" t="s">
        <v>196</v>
      </c>
      <c r="H107" s="6" t="s">
        <v>197</v>
      </c>
      <c r="I107" s="6" t="s">
        <v>198</v>
      </c>
    </row>
    <row r="108" customFormat="false" ht="15" hidden="false" customHeight="false" outlineLevel="0" collapsed="false">
      <c r="A108" s="6" t="s">
        <v>319</v>
      </c>
      <c r="B108" s="6" t="s">
        <v>194</v>
      </c>
      <c r="C108" s="9" t="str">
        <f aca="false">'Item Catalog'!$B$19</f>
        <v>ITM-017 · UMBRELLA SEAL FOR ROUND GENERIC</v>
      </c>
      <c r="D108" s="6" t="s">
        <v>200</v>
      </c>
      <c r="E108" s="6" t="n">
        <v>4</v>
      </c>
      <c r="F108" s="9" t="s">
        <v>204</v>
      </c>
      <c r="G108" s="6" t="s">
        <v>196</v>
      </c>
      <c r="H108" s="6" t="s">
        <v>202</v>
      </c>
      <c r="I108" s="6" t="s">
        <v>198</v>
      </c>
    </row>
    <row r="109" customFormat="false" ht="15" hidden="false" customHeight="false" outlineLevel="0" collapsed="false">
      <c r="A109" s="6" t="s">
        <v>320</v>
      </c>
      <c r="B109" s="6" t="s">
        <v>194</v>
      </c>
      <c r="C109" s="9" t="str">
        <f aca="false">'Item Catalog'!$B$19</f>
        <v>ITM-017 · UMBRELLA SEAL FOR ROUND GENERIC</v>
      </c>
      <c r="D109" s="6" t="s">
        <v>200</v>
      </c>
      <c r="E109" s="6" t="n">
        <v>3</v>
      </c>
      <c r="F109" s="9" t="s">
        <v>206</v>
      </c>
      <c r="G109" s="6" t="s">
        <v>196</v>
      </c>
      <c r="H109" s="6" t="s">
        <v>202</v>
      </c>
      <c r="I109" s="6" t="s">
        <v>198</v>
      </c>
    </row>
    <row r="110" customFormat="false" ht="15" hidden="false" customHeight="false" outlineLevel="0" collapsed="false">
      <c r="A110" s="6" t="s">
        <v>321</v>
      </c>
      <c r="B110" s="6" t="s">
        <v>194</v>
      </c>
      <c r="C110" s="9" t="str">
        <f aca="false">'Item Catalog'!$B$19</f>
        <v>ITM-017 · UMBRELLA SEAL FOR ROUND GENERIC</v>
      </c>
      <c r="D110" s="6" t="s">
        <v>200</v>
      </c>
      <c r="E110" s="6" t="n">
        <v>3</v>
      </c>
      <c r="F110" s="9" t="s">
        <v>208</v>
      </c>
      <c r="G110" s="6" t="s">
        <v>196</v>
      </c>
      <c r="H110" s="6" t="s">
        <v>202</v>
      </c>
      <c r="I110" s="6" t="s">
        <v>198</v>
      </c>
    </row>
    <row r="111" customFormat="false" ht="15" hidden="false" customHeight="false" outlineLevel="0" collapsed="false">
      <c r="A111" s="6" t="s">
        <v>322</v>
      </c>
      <c r="B111" s="6" t="s">
        <v>194</v>
      </c>
      <c r="C111" s="9" t="str">
        <f aca="false">'Item Catalog'!$B$19</f>
        <v>ITM-017 · UMBRELLA SEAL FOR ROUND GENERIC</v>
      </c>
      <c r="D111" s="6" t="s">
        <v>200</v>
      </c>
      <c r="E111" s="6" t="n">
        <v>3</v>
      </c>
      <c r="F111" s="9" t="s">
        <v>212</v>
      </c>
      <c r="G111" s="6" t="s">
        <v>196</v>
      </c>
      <c r="H111" s="6" t="s">
        <v>202</v>
      </c>
      <c r="I111" s="6" t="s">
        <v>198</v>
      </c>
    </row>
    <row r="112" customFormat="false" ht="15" hidden="false" customHeight="false" outlineLevel="0" collapsed="false">
      <c r="A112" s="6" t="s">
        <v>323</v>
      </c>
      <c r="B112" s="6" t="s">
        <v>194</v>
      </c>
      <c r="C112" s="9" t="str">
        <f aca="false">'Item Catalog'!$B$19</f>
        <v>ITM-017 · UMBRELLA SEAL FOR ROUND GENERIC</v>
      </c>
      <c r="D112" s="6" t="s">
        <v>200</v>
      </c>
      <c r="E112" s="6" t="n">
        <v>8</v>
      </c>
      <c r="F112" s="9" t="s">
        <v>214</v>
      </c>
      <c r="G112" s="6" t="s">
        <v>196</v>
      </c>
      <c r="H112" s="6" t="s">
        <v>202</v>
      </c>
      <c r="I112" s="6" t="s">
        <v>198</v>
      </c>
    </row>
    <row r="113" customFormat="false" ht="15" hidden="false" customHeight="false" outlineLevel="0" collapsed="false">
      <c r="A113" s="6" t="s">
        <v>324</v>
      </c>
      <c r="B113" s="6" t="s">
        <v>194</v>
      </c>
      <c r="C113" s="9" t="str">
        <f aca="false">'Item Catalog'!$B$19</f>
        <v>ITM-017 · UMBRELLA SEAL FOR ROUND GENERIC</v>
      </c>
      <c r="D113" s="6" t="s">
        <v>200</v>
      </c>
      <c r="E113" s="6" t="n">
        <v>29</v>
      </c>
      <c r="F113" s="9" t="s">
        <v>216</v>
      </c>
      <c r="G113" s="6" t="s">
        <v>196</v>
      </c>
      <c r="H113" s="6" t="s">
        <v>202</v>
      </c>
      <c r="I113" s="6" t="s">
        <v>198</v>
      </c>
    </row>
    <row r="114" customFormat="false" ht="15" hidden="false" customHeight="false" outlineLevel="0" collapsed="false">
      <c r="A114" s="6" t="s">
        <v>325</v>
      </c>
      <c r="B114" s="6" t="s">
        <v>194</v>
      </c>
      <c r="C114" s="9" t="str">
        <f aca="false">'Item Catalog'!$B$19</f>
        <v>ITM-017 · UMBRELLA SEAL FOR ROUND GENERIC</v>
      </c>
      <c r="D114" s="6" t="s">
        <v>200</v>
      </c>
      <c r="E114" s="6" t="n">
        <v>1</v>
      </c>
      <c r="F114" s="9" t="s">
        <v>218</v>
      </c>
      <c r="G114" s="6" t="s">
        <v>196</v>
      </c>
      <c r="H114" s="6" t="s">
        <v>202</v>
      </c>
      <c r="I114" s="6" t="s">
        <v>198</v>
      </c>
    </row>
    <row r="115" customFormat="false" ht="15" hidden="false" customHeight="false" outlineLevel="0" collapsed="false">
      <c r="A115" s="6" t="s">
        <v>326</v>
      </c>
      <c r="B115" s="6" t="s">
        <v>194</v>
      </c>
      <c r="C115" s="9" t="str">
        <f aca="false">'Item Catalog'!$B$19</f>
        <v>ITM-017 · UMBRELLA SEAL FOR ROUND GENERIC</v>
      </c>
      <c r="D115" s="6" t="s">
        <v>200</v>
      </c>
      <c r="E115" s="6" t="n">
        <v>10</v>
      </c>
      <c r="F115" s="9" t="s">
        <v>286</v>
      </c>
      <c r="G115" s="6" t="s">
        <v>196</v>
      </c>
      <c r="H115" s="6" t="s">
        <v>202</v>
      </c>
      <c r="I115" s="6" t="s">
        <v>198</v>
      </c>
    </row>
    <row r="116" customFormat="false" ht="15" hidden="false" customHeight="false" outlineLevel="0" collapsed="false">
      <c r="A116" s="6" t="s">
        <v>327</v>
      </c>
      <c r="B116" s="6" t="s">
        <v>194</v>
      </c>
      <c r="C116" s="9" t="str">
        <f aca="false">'Item Catalog'!$B$19</f>
        <v>ITM-017 · UMBRELLA SEAL FOR ROUND GENERIC</v>
      </c>
      <c r="D116" s="6" t="s">
        <v>200</v>
      </c>
      <c r="E116" s="6" t="n">
        <v>14</v>
      </c>
      <c r="F116" s="9" t="s">
        <v>220</v>
      </c>
      <c r="G116" s="6" t="s">
        <v>196</v>
      </c>
      <c r="H116" s="6" t="s">
        <v>202</v>
      </c>
      <c r="I116" s="6" t="s">
        <v>198</v>
      </c>
    </row>
    <row r="117" customFormat="false" ht="15" hidden="false" customHeight="false" outlineLevel="0" collapsed="false">
      <c r="A117" s="6" t="s">
        <v>328</v>
      </c>
      <c r="B117" s="6" t="s">
        <v>194</v>
      </c>
      <c r="C117" s="9" t="str">
        <f aca="false">'Item Catalog'!$B$20</f>
        <v>ITM-018 · 1 L SOAP SANITIZER</v>
      </c>
      <c r="D117" s="6" t="s">
        <v>195</v>
      </c>
      <c r="E117" s="6" t="n">
        <v>80</v>
      </c>
      <c r="F117" s="9"/>
      <c r="G117" s="6" t="s">
        <v>196</v>
      </c>
      <c r="H117" s="6" t="s">
        <v>197</v>
      </c>
      <c r="I117" s="6" t="s">
        <v>198</v>
      </c>
    </row>
    <row r="118" customFormat="false" ht="15" hidden="false" customHeight="false" outlineLevel="0" collapsed="false">
      <c r="A118" s="6" t="s">
        <v>329</v>
      </c>
      <c r="B118" s="6" t="s">
        <v>194</v>
      </c>
      <c r="C118" s="9" t="str">
        <f aca="false">'Item Catalog'!$B$20</f>
        <v>ITM-018 · 1 L SOAP SANITIZER</v>
      </c>
      <c r="D118" s="6" t="s">
        <v>200</v>
      </c>
      <c r="E118" s="6" t="n">
        <v>21</v>
      </c>
      <c r="F118" s="9" t="s">
        <v>201</v>
      </c>
      <c r="G118" s="6" t="s">
        <v>196</v>
      </c>
      <c r="H118" s="6" t="s">
        <v>202</v>
      </c>
      <c r="I118" s="6" t="s">
        <v>198</v>
      </c>
    </row>
    <row r="119" customFormat="false" ht="15" hidden="false" customHeight="false" outlineLevel="0" collapsed="false">
      <c r="A119" s="6" t="s">
        <v>330</v>
      </c>
      <c r="B119" s="6" t="s">
        <v>194</v>
      </c>
      <c r="C119" s="9" t="str">
        <f aca="false">'Item Catalog'!$B$20</f>
        <v>ITM-018 · 1 L SOAP SANITIZER</v>
      </c>
      <c r="D119" s="6" t="s">
        <v>200</v>
      </c>
      <c r="E119" s="6" t="n">
        <v>3</v>
      </c>
      <c r="F119" s="9" t="s">
        <v>210</v>
      </c>
      <c r="G119" s="6" t="s">
        <v>196</v>
      </c>
      <c r="H119" s="6" t="s">
        <v>202</v>
      </c>
      <c r="I119" s="6" t="s">
        <v>198</v>
      </c>
    </row>
    <row r="120" customFormat="false" ht="15" hidden="false" customHeight="false" outlineLevel="0" collapsed="false">
      <c r="A120" s="6" t="s">
        <v>331</v>
      </c>
      <c r="B120" s="6" t="s">
        <v>194</v>
      </c>
      <c r="C120" s="9" t="str">
        <f aca="false">'Item Catalog'!$B$20</f>
        <v>ITM-018 · 1 L SOAP SANITIZER</v>
      </c>
      <c r="D120" s="6" t="s">
        <v>200</v>
      </c>
      <c r="E120" s="6" t="n">
        <v>4</v>
      </c>
      <c r="F120" s="9" t="s">
        <v>212</v>
      </c>
      <c r="G120" s="6" t="s">
        <v>196</v>
      </c>
      <c r="H120" s="6" t="s">
        <v>202</v>
      </c>
      <c r="I120" s="6" t="s">
        <v>198</v>
      </c>
    </row>
    <row r="121" customFormat="false" ht="15" hidden="false" customHeight="false" outlineLevel="0" collapsed="false">
      <c r="A121" s="6" t="s">
        <v>332</v>
      </c>
      <c r="B121" s="6" t="s">
        <v>194</v>
      </c>
      <c r="C121" s="9" t="str">
        <f aca="false">'Item Catalog'!$B$20</f>
        <v>ITM-018 · 1 L SOAP SANITIZER</v>
      </c>
      <c r="D121" s="6" t="s">
        <v>200</v>
      </c>
      <c r="E121" s="6" t="n">
        <v>1</v>
      </c>
      <c r="F121" s="9" t="s">
        <v>220</v>
      </c>
      <c r="G121" s="6" t="s">
        <v>196</v>
      </c>
      <c r="H121" s="6" t="s">
        <v>202</v>
      </c>
      <c r="I121" s="6" t="s">
        <v>198</v>
      </c>
    </row>
    <row r="122" customFormat="false" ht="15" hidden="false" customHeight="false" outlineLevel="0" collapsed="false">
      <c r="A122" s="6" t="s">
        <v>333</v>
      </c>
      <c r="B122" s="6" t="s">
        <v>194</v>
      </c>
      <c r="C122" s="9" t="str">
        <f aca="false">'Item Catalog'!$B$20</f>
        <v>ITM-018 · 1 L SOAP SANITIZER</v>
      </c>
      <c r="D122" s="6" t="s">
        <v>200</v>
      </c>
      <c r="E122" s="6" t="n">
        <v>6</v>
      </c>
      <c r="F122" s="9" t="s">
        <v>289</v>
      </c>
      <c r="G122" s="6" t="s">
        <v>196</v>
      </c>
      <c r="H122" s="6" t="s">
        <v>202</v>
      </c>
      <c r="I122" s="6" t="s">
        <v>198</v>
      </c>
    </row>
    <row r="123" customFormat="false" ht="15" hidden="false" customHeight="false" outlineLevel="0" collapsed="false">
      <c r="A123" s="6" t="s">
        <v>334</v>
      </c>
      <c r="B123" s="6" t="s">
        <v>194</v>
      </c>
      <c r="C123" s="9" t="str">
        <f aca="false">'Item Catalog'!$B$21</f>
        <v>ITM-019 · SOAP SANITIZER: SOAP WOW-1LITER</v>
      </c>
      <c r="D123" s="6" t="s">
        <v>195</v>
      </c>
      <c r="E123" s="6" t="n">
        <v>32</v>
      </c>
      <c r="F123" s="9"/>
      <c r="G123" s="6" t="s">
        <v>196</v>
      </c>
      <c r="H123" s="6" t="s">
        <v>197</v>
      </c>
      <c r="I123" s="6" t="s">
        <v>198</v>
      </c>
    </row>
    <row r="124" customFormat="false" ht="15" hidden="false" customHeight="false" outlineLevel="0" collapsed="false">
      <c r="A124" s="6" t="s">
        <v>335</v>
      </c>
      <c r="B124" s="6" t="s">
        <v>194</v>
      </c>
      <c r="C124" s="9" t="str">
        <f aca="false">'Item Catalog'!$B$22</f>
        <v>ITM-020 · AUSTRALIAN SALT</v>
      </c>
      <c r="D124" s="6" t="s">
        <v>195</v>
      </c>
      <c r="E124" s="6" t="n">
        <v>15</v>
      </c>
      <c r="F124" s="9"/>
      <c r="G124" s="6" t="s">
        <v>196</v>
      </c>
      <c r="H124" s="6" t="s">
        <v>197</v>
      </c>
      <c r="I124" s="6" t="s">
        <v>198</v>
      </c>
    </row>
    <row r="125" customFormat="false" ht="15" hidden="false" customHeight="false" outlineLevel="0" collapsed="false">
      <c r="A125" s="6" t="s">
        <v>336</v>
      </c>
      <c r="B125" s="6" t="s">
        <v>194</v>
      </c>
      <c r="C125" s="9" t="str">
        <f aca="false">'Item Catalog'!$B$22</f>
        <v>ITM-020 · AUSTRALIAN SALT</v>
      </c>
      <c r="D125" s="6" t="s">
        <v>200</v>
      </c>
      <c r="E125" s="6" t="n">
        <v>14</v>
      </c>
      <c r="F125" s="9" t="s">
        <v>201</v>
      </c>
      <c r="G125" s="6" t="s">
        <v>196</v>
      </c>
      <c r="H125" s="6" t="s">
        <v>202</v>
      </c>
      <c r="I125" s="6" t="s">
        <v>198</v>
      </c>
    </row>
    <row r="126" customFormat="false" ht="15" hidden="false" customHeight="false" outlineLevel="0" collapsed="false">
      <c r="A126" s="6" t="s">
        <v>337</v>
      </c>
      <c r="B126" s="6" t="s">
        <v>194</v>
      </c>
      <c r="C126" s="9" t="str">
        <f aca="false">'Item Catalog'!$B$22</f>
        <v>ITM-020 · AUSTRALIAN SALT</v>
      </c>
      <c r="D126" s="6" t="s">
        <v>200</v>
      </c>
      <c r="E126" s="6" t="n">
        <v>1</v>
      </c>
      <c r="F126" s="9" t="s">
        <v>206</v>
      </c>
      <c r="G126" s="6" t="s">
        <v>196</v>
      </c>
      <c r="H126" s="6" t="s">
        <v>202</v>
      </c>
      <c r="I126" s="6" t="s">
        <v>198</v>
      </c>
    </row>
    <row r="127" customFormat="false" ht="15" hidden="false" customHeight="false" outlineLevel="0" collapsed="false">
      <c r="A127" s="6" t="s">
        <v>338</v>
      </c>
      <c r="B127" s="6" t="s">
        <v>194</v>
      </c>
      <c r="C127" s="9" t="str">
        <f aca="false">'Item Catalog'!$B$23</f>
        <v>ITM-021 · INDUSTRIAL SALT ART-COURSE</v>
      </c>
      <c r="D127" s="6" t="s">
        <v>195</v>
      </c>
      <c r="E127" s="6" t="n">
        <v>70</v>
      </c>
      <c r="F127" s="9"/>
      <c r="G127" s="6" t="s">
        <v>196</v>
      </c>
      <c r="H127" s="6" t="s">
        <v>197</v>
      </c>
      <c r="I127" s="6" t="s">
        <v>198</v>
      </c>
    </row>
    <row r="128" customFormat="false" ht="15" hidden="false" customHeight="false" outlineLevel="0" collapsed="false">
      <c r="A128" s="6" t="s">
        <v>339</v>
      </c>
      <c r="B128" s="6" t="s">
        <v>194</v>
      </c>
      <c r="C128" s="9" t="str">
        <f aca="false">'Item Catalog'!$B$23</f>
        <v>ITM-021 · INDUSTRIAL SALT ART-COURSE</v>
      </c>
      <c r="D128" s="6" t="s">
        <v>200</v>
      </c>
      <c r="E128" s="6" t="n">
        <v>32</v>
      </c>
      <c r="F128" s="9" t="s">
        <v>201</v>
      </c>
      <c r="G128" s="6" t="s">
        <v>196</v>
      </c>
      <c r="H128" s="6" t="s">
        <v>202</v>
      </c>
      <c r="I128" s="6" t="s">
        <v>198</v>
      </c>
    </row>
    <row r="129" customFormat="false" ht="15" hidden="false" customHeight="false" outlineLevel="0" collapsed="false">
      <c r="A129" s="6" t="s">
        <v>340</v>
      </c>
      <c r="B129" s="6" t="s">
        <v>194</v>
      </c>
      <c r="C129" s="9" t="str">
        <f aca="false">'Item Catalog'!$B$23</f>
        <v>ITM-021 · INDUSTRIAL SALT ART-COURSE</v>
      </c>
      <c r="D129" s="6" t="s">
        <v>200</v>
      </c>
      <c r="E129" s="6" t="n">
        <v>1</v>
      </c>
      <c r="F129" s="9" t="s">
        <v>210</v>
      </c>
      <c r="G129" s="6" t="s">
        <v>196</v>
      </c>
      <c r="H129" s="6" t="s">
        <v>202</v>
      </c>
      <c r="I129" s="6" t="s">
        <v>198</v>
      </c>
    </row>
    <row r="130" customFormat="false" ht="15" hidden="false" customHeight="false" outlineLevel="0" collapsed="false">
      <c r="A130" s="6" t="s">
        <v>341</v>
      </c>
      <c r="B130" s="6" t="s">
        <v>194</v>
      </c>
      <c r="C130" s="9" t="str">
        <f aca="false">'Item Catalog'!$B$23</f>
        <v>ITM-021 · INDUSTRIAL SALT ART-COURSE</v>
      </c>
      <c r="D130" s="6" t="s">
        <v>200</v>
      </c>
      <c r="E130" s="6" t="n">
        <v>11</v>
      </c>
      <c r="F130" s="9" t="s">
        <v>216</v>
      </c>
      <c r="G130" s="6" t="s">
        <v>196</v>
      </c>
      <c r="H130" s="6" t="s">
        <v>202</v>
      </c>
      <c r="I130" s="6" t="s">
        <v>198</v>
      </c>
    </row>
    <row r="131" customFormat="false" ht="15" hidden="false" customHeight="false" outlineLevel="0" collapsed="false">
      <c r="A131" s="6" t="s">
        <v>342</v>
      </c>
      <c r="B131" s="6" t="s">
        <v>194</v>
      </c>
      <c r="C131" s="9" t="str">
        <f aca="false">'Item Catalog'!$B$23</f>
        <v>ITM-021 · INDUSTRIAL SALT ART-COURSE</v>
      </c>
      <c r="D131" s="6" t="s">
        <v>200</v>
      </c>
      <c r="E131" s="6" t="n">
        <v>5</v>
      </c>
      <c r="F131" s="9" t="s">
        <v>218</v>
      </c>
      <c r="G131" s="6" t="s">
        <v>196</v>
      </c>
      <c r="H131" s="6" t="s">
        <v>202</v>
      </c>
      <c r="I131" s="6" t="s">
        <v>198</v>
      </c>
    </row>
    <row r="132" customFormat="false" ht="15" hidden="false" customHeight="false" outlineLevel="0" collapsed="false">
      <c r="A132" s="6" t="s">
        <v>343</v>
      </c>
      <c r="B132" s="6" t="s">
        <v>194</v>
      </c>
      <c r="C132" s="9" t="str">
        <f aca="false">'Item Catalog'!$B$23</f>
        <v>ITM-021 · INDUSTRIAL SALT ART-COURSE</v>
      </c>
      <c r="D132" s="6" t="s">
        <v>200</v>
      </c>
      <c r="E132" s="6" t="n">
        <v>2</v>
      </c>
      <c r="F132" s="9" t="s">
        <v>273</v>
      </c>
      <c r="G132" s="6" t="s">
        <v>196</v>
      </c>
      <c r="H132" s="6" t="s">
        <v>202</v>
      </c>
      <c r="I132" s="6" t="s">
        <v>198</v>
      </c>
    </row>
    <row r="133" customFormat="false" ht="15" hidden="false" customHeight="false" outlineLevel="0" collapsed="false">
      <c r="A133" s="6" t="s">
        <v>344</v>
      </c>
      <c r="B133" s="6" t="s">
        <v>194</v>
      </c>
      <c r="C133" s="9" t="str">
        <f aca="false">'Item Catalog'!$B$23</f>
        <v>ITM-021 · INDUSTRIAL SALT ART-COURSE</v>
      </c>
      <c r="D133" s="6" t="s">
        <v>200</v>
      </c>
      <c r="E133" s="6" t="n">
        <v>3</v>
      </c>
      <c r="F133" s="9" t="s">
        <v>286</v>
      </c>
      <c r="G133" s="6" t="s">
        <v>196</v>
      </c>
      <c r="H133" s="6" t="s">
        <v>202</v>
      </c>
      <c r="I133" s="6" t="s">
        <v>198</v>
      </c>
    </row>
    <row r="134" customFormat="false" ht="15" hidden="false" customHeight="false" outlineLevel="0" collapsed="false">
      <c r="A134" s="6" t="s">
        <v>345</v>
      </c>
      <c r="B134" s="6" t="s">
        <v>194</v>
      </c>
      <c r="C134" s="9" t="str">
        <f aca="false">'Item Catalog'!$B$23</f>
        <v>ITM-021 · INDUSTRIAL SALT ART-COURSE</v>
      </c>
      <c r="D134" s="6" t="s">
        <v>200</v>
      </c>
      <c r="E134" s="6" t="n">
        <v>3</v>
      </c>
      <c r="F134" s="9" t="s">
        <v>220</v>
      </c>
      <c r="G134" s="6" t="s">
        <v>196</v>
      </c>
      <c r="H134" s="6" t="s">
        <v>202</v>
      </c>
      <c r="I134" s="6" t="s">
        <v>198</v>
      </c>
    </row>
    <row r="135" customFormat="false" ht="15" hidden="false" customHeight="false" outlineLevel="0" collapsed="false">
      <c r="A135" s="6" t="s">
        <v>346</v>
      </c>
      <c r="B135" s="6" t="s">
        <v>194</v>
      </c>
      <c r="C135" s="9" t="str">
        <f aca="false">'Item Catalog'!$B$23</f>
        <v>ITM-021 · INDUSTRIAL SALT ART-COURSE</v>
      </c>
      <c r="D135" s="6" t="s">
        <v>200</v>
      </c>
      <c r="E135" s="6" t="n">
        <v>6</v>
      </c>
      <c r="F135" s="9" t="s">
        <v>289</v>
      </c>
      <c r="G135" s="6" t="s">
        <v>196</v>
      </c>
      <c r="H135" s="6" t="s">
        <v>202</v>
      </c>
      <c r="I135" s="6" t="s">
        <v>198</v>
      </c>
    </row>
    <row r="136" customFormat="false" ht="15" hidden="false" customHeight="false" outlineLevel="0" collapsed="false">
      <c r="A136" s="6" t="s">
        <v>347</v>
      </c>
      <c r="B136" s="6" t="s">
        <v>194</v>
      </c>
      <c r="C136" s="9" t="str">
        <f aca="false">'Item Catalog'!$B$24</f>
        <v>ITM-022 · INDUSTRIAL SALT ART-COURSE</v>
      </c>
      <c r="D136" s="6" t="s">
        <v>195</v>
      </c>
      <c r="E136" s="6" t="n">
        <v>20</v>
      </c>
      <c r="F136" s="9"/>
      <c r="G136" s="6" t="s">
        <v>196</v>
      </c>
      <c r="H136" s="6" t="s">
        <v>197</v>
      </c>
      <c r="I136" s="6" t="s">
        <v>198</v>
      </c>
    </row>
    <row r="137" customFormat="false" ht="15" hidden="false" customHeight="false" outlineLevel="0" collapsed="false">
      <c r="A137" s="6" t="s">
        <v>348</v>
      </c>
      <c r="B137" s="6" t="s">
        <v>194</v>
      </c>
      <c r="C137" s="9" t="str">
        <f aca="false">'Item Catalog'!$B$25</f>
        <v>ITM-023 · 5M SF 20SL LW ( MONTHLY (2PC) FOR PURIFIED/MINERAL )</v>
      </c>
      <c r="D137" s="6" t="s">
        <v>195</v>
      </c>
      <c r="E137" s="6" t="n">
        <v>25</v>
      </c>
      <c r="F137" s="9"/>
      <c r="G137" s="6" t="s">
        <v>196</v>
      </c>
      <c r="H137" s="6" t="s">
        <v>197</v>
      </c>
      <c r="I137" s="6" t="s">
        <v>198</v>
      </c>
    </row>
    <row r="138" customFormat="false" ht="15" hidden="false" customHeight="false" outlineLevel="0" collapsed="false">
      <c r="A138" s="6" t="s">
        <v>349</v>
      </c>
      <c r="B138" s="6" t="s">
        <v>194</v>
      </c>
      <c r="C138" s="9" t="str">
        <f aca="false">'Item Catalog'!$B$25</f>
        <v>ITM-023 · 5M SF 20SL LW ( MONTHLY (2PC) FOR PURIFIED/MINERAL )</v>
      </c>
      <c r="D138" s="6" t="s">
        <v>200</v>
      </c>
      <c r="E138" s="6" t="n">
        <v>7</v>
      </c>
      <c r="F138" s="9" t="s">
        <v>201</v>
      </c>
      <c r="G138" s="6" t="s">
        <v>196</v>
      </c>
      <c r="H138" s="6" t="s">
        <v>202</v>
      </c>
      <c r="I138" s="6" t="s">
        <v>198</v>
      </c>
    </row>
    <row r="139" customFormat="false" ht="15" hidden="false" customHeight="false" outlineLevel="0" collapsed="false">
      <c r="A139" s="6" t="s">
        <v>350</v>
      </c>
      <c r="B139" s="6" t="s">
        <v>194</v>
      </c>
      <c r="C139" s="9" t="str">
        <f aca="false">'Item Catalog'!$B$25</f>
        <v>ITM-023 · 5M SF 20SL LW ( MONTHLY (2PC) FOR PURIFIED/MINERAL )</v>
      </c>
      <c r="D139" s="6" t="s">
        <v>200</v>
      </c>
      <c r="E139" s="6" t="n">
        <v>2</v>
      </c>
      <c r="F139" s="9" t="s">
        <v>210</v>
      </c>
      <c r="G139" s="6" t="s">
        <v>196</v>
      </c>
      <c r="H139" s="6" t="s">
        <v>202</v>
      </c>
      <c r="I139" s="6" t="s">
        <v>198</v>
      </c>
    </row>
    <row r="140" customFormat="false" ht="15" hidden="false" customHeight="false" outlineLevel="0" collapsed="false">
      <c r="A140" s="6" t="s">
        <v>351</v>
      </c>
      <c r="B140" s="6" t="s">
        <v>194</v>
      </c>
      <c r="C140" s="9" t="str">
        <f aca="false">'Item Catalog'!$B$26</f>
        <v>ITM-024 · SEDIMENT: LWS 20" SLIM 5-MIC</v>
      </c>
      <c r="D140" s="6" t="s">
        <v>195</v>
      </c>
      <c r="E140" s="6" t="n">
        <v>10</v>
      </c>
      <c r="F140" s="9"/>
      <c r="G140" s="6" t="s">
        <v>196</v>
      </c>
      <c r="H140" s="6" t="s">
        <v>197</v>
      </c>
      <c r="I140" s="6" t="s">
        <v>198</v>
      </c>
    </row>
    <row r="141" customFormat="false" ht="15" hidden="false" customHeight="false" outlineLevel="0" collapsed="false">
      <c r="A141" s="6" t="s">
        <v>352</v>
      </c>
      <c r="B141" s="6" t="s">
        <v>194</v>
      </c>
      <c r="C141" s="9" t="str">
        <f aca="false">'Item Catalog'!$B$27</f>
        <v>ITM-025 · 1M SF 20S LW ( QUARTERLY (2PC) FOR PURIFIED/MINERAL )</v>
      </c>
      <c r="D141" s="6" t="s">
        <v>195</v>
      </c>
      <c r="E141" s="6" t="n">
        <v>25</v>
      </c>
      <c r="F141" s="9"/>
      <c r="G141" s="6" t="s">
        <v>196</v>
      </c>
      <c r="H141" s="6" t="s">
        <v>197</v>
      </c>
      <c r="I141" s="6" t="s">
        <v>198</v>
      </c>
    </row>
    <row r="142" customFormat="false" ht="15" hidden="false" customHeight="false" outlineLevel="0" collapsed="false">
      <c r="A142" s="6" t="s">
        <v>353</v>
      </c>
      <c r="B142" s="6" t="s">
        <v>194</v>
      </c>
      <c r="C142" s="9" t="str">
        <f aca="false">'Item Catalog'!$B$27</f>
        <v>ITM-025 · 1M SF 20S LW ( QUARTERLY (2PC) FOR PURIFIED/MINERAL )</v>
      </c>
      <c r="D142" s="6" t="s">
        <v>200</v>
      </c>
      <c r="E142" s="6" t="n">
        <v>12</v>
      </c>
      <c r="F142" s="9" t="s">
        <v>201</v>
      </c>
      <c r="G142" s="6" t="s">
        <v>196</v>
      </c>
      <c r="H142" s="6" t="s">
        <v>202</v>
      </c>
      <c r="I142" s="6" t="s">
        <v>198</v>
      </c>
    </row>
    <row r="143" customFormat="false" ht="15" hidden="false" customHeight="false" outlineLevel="0" collapsed="false">
      <c r="A143" s="6" t="s">
        <v>354</v>
      </c>
      <c r="B143" s="6" t="s">
        <v>194</v>
      </c>
      <c r="C143" s="9" t="str">
        <f aca="false">'Item Catalog'!$B$27</f>
        <v>ITM-025 · 1M SF 20S LW ( QUARTERLY (2PC) FOR PURIFIED/MINERAL )</v>
      </c>
      <c r="D143" s="6" t="s">
        <v>200</v>
      </c>
      <c r="E143" s="6" t="n">
        <v>1</v>
      </c>
      <c r="F143" s="9" t="s">
        <v>218</v>
      </c>
      <c r="G143" s="6" t="s">
        <v>196</v>
      </c>
      <c r="H143" s="6" t="s">
        <v>202</v>
      </c>
      <c r="I143" s="6" t="s">
        <v>198</v>
      </c>
    </row>
    <row r="144" customFormat="false" ht="15" hidden="false" customHeight="false" outlineLevel="0" collapsed="false">
      <c r="A144" s="6" t="s">
        <v>355</v>
      </c>
      <c r="B144" s="6" t="s">
        <v>194</v>
      </c>
      <c r="C144" s="9" t="str">
        <f aca="false">'Item Catalog'!$B$28</f>
        <v>ITM-026 · SEDIMENT: LWS 20" SLIM 1-MIC</v>
      </c>
      <c r="D144" s="6" t="s">
        <v>195</v>
      </c>
      <c r="E144" s="6" t="n">
        <v>5</v>
      </c>
      <c r="F144" s="9"/>
      <c r="G144" s="6" t="s">
        <v>196</v>
      </c>
      <c r="H144" s="6" t="s">
        <v>197</v>
      </c>
      <c r="I144" s="6" t="s">
        <v>198</v>
      </c>
    </row>
    <row r="145" customFormat="false" ht="28.35" hidden="false" customHeight="false" outlineLevel="0" collapsed="false">
      <c r="A145" s="6" t="s">
        <v>356</v>
      </c>
      <c r="B145" s="6" t="s">
        <v>194</v>
      </c>
      <c r="C145" s="10" t="str">
        <f aca="false">'Item Catalog'!$B$29</f>
        <v>ITM-027 · 1M SF 10SL LW ( QUARTERLY (1PC) FOR ALKALINE )
(SEDIMENT: LWS 10" SLIM 1-MIC)</v>
      </c>
      <c r="D145" s="6" t="s">
        <v>195</v>
      </c>
      <c r="E145" s="6" t="n">
        <v>15</v>
      </c>
      <c r="F145" s="9"/>
      <c r="G145" s="6" t="s">
        <v>196</v>
      </c>
      <c r="H145" s="6" t="s">
        <v>197</v>
      </c>
      <c r="I145" s="6" t="s">
        <v>198</v>
      </c>
    </row>
    <row r="146" customFormat="false" ht="28.35" hidden="false" customHeight="false" outlineLevel="0" collapsed="false">
      <c r="A146" s="6" t="s">
        <v>357</v>
      </c>
      <c r="B146" s="6" t="s">
        <v>194</v>
      </c>
      <c r="C146" s="10" t="str">
        <f aca="false">'Item Catalog'!$B$29</f>
        <v>ITM-027 · 1M SF 10SL LW ( QUARTERLY (1PC) FOR ALKALINE )
(SEDIMENT: LWS 10" SLIM 1-MIC)</v>
      </c>
      <c r="D146" s="6" t="s">
        <v>200</v>
      </c>
      <c r="E146" s="6" t="n">
        <v>6</v>
      </c>
      <c r="F146" s="9" t="s">
        <v>201</v>
      </c>
      <c r="G146" s="6" t="s">
        <v>196</v>
      </c>
      <c r="H146" s="6" t="s">
        <v>202</v>
      </c>
      <c r="I146" s="6" t="s">
        <v>198</v>
      </c>
    </row>
    <row r="147" customFormat="false" ht="15" hidden="false" customHeight="false" outlineLevel="0" collapsed="false">
      <c r="A147" s="6" t="s">
        <v>358</v>
      </c>
      <c r="B147" s="6" t="s">
        <v>194</v>
      </c>
      <c r="C147" s="9" t="str">
        <f aca="false">'Item Catalog'!$B$30</f>
        <v>ITM-028 · HYDROSEP CTO 20SL ( QUARTERLY (2PC) FOR PURIFIED/MINERAL )</v>
      </c>
      <c r="D147" s="6" t="s">
        <v>195</v>
      </c>
      <c r="E147" s="6" t="n">
        <v>25</v>
      </c>
      <c r="F147" s="9"/>
      <c r="G147" s="6" t="s">
        <v>196</v>
      </c>
      <c r="H147" s="6" t="s">
        <v>197</v>
      </c>
      <c r="I147" s="6" t="s">
        <v>198</v>
      </c>
    </row>
    <row r="148" customFormat="false" ht="15" hidden="false" customHeight="false" outlineLevel="0" collapsed="false">
      <c r="A148" s="6" t="s">
        <v>359</v>
      </c>
      <c r="B148" s="6" t="s">
        <v>194</v>
      </c>
      <c r="C148" s="9" t="str">
        <f aca="false">'Item Catalog'!$B$30</f>
        <v>ITM-028 · HYDROSEP CTO 20SL ( QUARTERLY (2PC) FOR PURIFIED/MINERAL )</v>
      </c>
      <c r="D148" s="6" t="s">
        <v>200</v>
      </c>
      <c r="E148" s="6" t="n">
        <v>13</v>
      </c>
      <c r="F148" s="9" t="s">
        <v>201</v>
      </c>
      <c r="G148" s="6" t="s">
        <v>196</v>
      </c>
      <c r="H148" s="6" t="s">
        <v>202</v>
      </c>
      <c r="I148" s="6" t="s">
        <v>198</v>
      </c>
    </row>
    <row r="149" customFormat="false" ht="15" hidden="false" customHeight="false" outlineLevel="0" collapsed="false">
      <c r="A149" s="6" t="s">
        <v>360</v>
      </c>
      <c r="B149" s="6" t="s">
        <v>194</v>
      </c>
      <c r="C149" s="9" t="str">
        <f aca="false">'Item Catalog'!$B$30</f>
        <v>ITM-028 · HYDROSEP CTO 20SL ( QUARTERLY (2PC) FOR PURIFIED/MINERAL )</v>
      </c>
      <c r="D149" s="6" t="s">
        <v>200</v>
      </c>
      <c r="E149" s="6" t="n">
        <v>2</v>
      </c>
      <c r="F149" s="9" t="s">
        <v>361</v>
      </c>
      <c r="G149" s="6" t="s">
        <v>196</v>
      </c>
      <c r="H149" s="6" t="s">
        <v>202</v>
      </c>
      <c r="I149" s="6" t="s">
        <v>198</v>
      </c>
    </row>
    <row r="150" customFormat="false" ht="15" hidden="false" customHeight="false" outlineLevel="0" collapsed="false">
      <c r="A150" s="6" t="s">
        <v>362</v>
      </c>
      <c r="B150" s="6" t="s">
        <v>194</v>
      </c>
      <c r="C150" s="9" t="str">
        <f aca="false">'Item Catalog'!$B$30</f>
        <v>ITM-028 · HYDROSEP CTO 20SL ( QUARTERLY (2PC) FOR PURIFIED/MINERAL )</v>
      </c>
      <c r="D150" s="6" t="s">
        <v>200</v>
      </c>
      <c r="E150" s="6" t="n">
        <v>3</v>
      </c>
      <c r="F150" s="9" t="s">
        <v>218</v>
      </c>
      <c r="G150" s="6" t="s">
        <v>196</v>
      </c>
      <c r="H150" s="6" t="s">
        <v>202</v>
      </c>
      <c r="I150" s="6" t="s">
        <v>198</v>
      </c>
    </row>
    <row r="151" customFormat="false" ht="15" hidden="false" customHeight="false" outlineLevel="0" collapsed="false">
      <c r="A151" s="6" t="s">
        <v>363</v>
      </c>
      <c r="B151" s="6" t="s">
        <v>194</v>
      </c>
      <c r="C151" s="9" t="str">
        <f aca="false">'Item Catalog'!$B$30</f>
        <v>ITM-028 · HYDROSEP CTO 20SL ( QUARTERLY (2PC) FOR PURIFIED/MINERAL )</v>
      </c>
      <c r="D151" s="6" t="s">
        <v>200</v>
      </c>
      <c r="E151" s="6" t="n">
        <v>2</v>
      </c>
      <c r="F151" s="9" t="s">
        <v>220</v>
      </c>
      <c r="G151" s="6" t="s">
        <v>196</v>
      </c>
      <c r="H151" s="6" t="s">
        <v>202</v>
      </c>
      <c r="I151" s="6" t="s">
        <v>198</v>
      </c>
    </row>
    <row r="152" customFormat="false" ht="15" hidden="false" customHeight="false" outlineLevel="0" collapsed="false">
      <c r="A152" s="6" t="s">
        <v>364</v>
      </c>
      <c r="B152" s="6" t="s">
        <v>194</v>
      </c>
      <c r="C152" s="9" t="str">
        <f aca="false">'Item Catalog'!$B$31</f>
        <v>ITM-029 · HYDROSEP CTO 10SL ( QUARTERLY (1PC) FOR ALKALINE )</v>
      </c>
      <c r="D152" s="6" t="s">
        <v>195</v>
      </c>
      <c r="E152" s="6" t="n">
        <v>10</v>
      </c>
      <c r="F152" s="9"/>
      <c r="G152" s="6" t="s">
        <v>196</v>
      </c>
      <c r="H152" s="6" t="s">
        <v>197</v>
      </c>
      <c r="I152" s="6" t="s">
        <v>198</v>
      </c>
    </row>
    <row r="153" customFormat="false" ht="15" hidden="false" customHeight="false" outlineLevel="0" collapsed="false">
      <c r="A153" s="6" t="s">
        <v>365</v>
      </c>
      <c r="B153" s="6" t="s">
        <v>194</v>
      </c>
      <c r="C153" s="9" t="str">
        <f aca="false">'Item Catalog'!$B$31</f>
        <v>ITM-029 · HYDROSEP CTO 10SL ( QUARTERLY (1PC) FOR ALKALINE )</v>
      </c>
      <c r="D153" s="6" t="s">
        <v>200</v>
      </c>
      <c r="E153" s="6" t="n">
        <v>6</v>
      </c>
      <c r="F153" s="9" t="s">
        <v>201</v>
      </c>
      <c r="G153" s="6" t="s">
        <v>196</v>
      </c>
      <c r="H153" s="6" t="s">
        <v>202</v>
      </c>
      <c r="I153" s="6" t="s">
        <v>198</v>
      </c>
    </row>
    <row r="154" customFormat="false" ht="15" hidden="false" customHeight="false" outlineLevel="0" collapsed="false">
      <c r="A154" s="6" t="s">
        <v>366</v>
      </c>
      <c r="B154" s="6" t="s">
        <v>194</v>
      </c>
      <c r="C154" s="9" t="str">
        <f aca="false">'Item Catalog'!$B$32</f>
        <v>ITM-030 · CERAMIC FILTER 10SL ( QUARTERLY (1PC) FOR ALKALINE )</v>
      </c>
      <c r="D154" s="6" t="s">
        <v>195</v>
      </c>
      <c r="E154" s="6" t="n">
        <v>10</v>
      </c>
      <c r="F154" s="9"/>
      <c r="G154" s="6" t="s">
        <v>196</v>
      </c>
      <c r="H154" s="6" t="s">
        <v>197</v>
      </c>
      <c r="I154" s="6" t="s">
        <v>198</v>
      </c>
    </row>
    <row r="155" customFormat="false" ht="15" hidden="false" customHeight="false" outlineLevel="0" collapsed="false">
      <c r="A155" s="6" t="s">
        <v>367</v>
      </c>
      <c r="B155" s="6" t="s">
        <v>194</v>
      </c>
      <c r="C155" s="9" t="str">
        <f aca="false">'Item Catalog'!$B$32</f>
        <v>ITM-030 · CERAMIC FILTER 10SL ( QUARTERLY (1PC) FOR ALKALINE )</v>
      </c>
      <c r="D155" s="6" t="s">
        <v>200</v>
      </c>
      <c r="E155" s="6" t="n">
        <v>3</v>
      </c>
      <c r="F155" s="9" t="s">
        <v>201</v>
      </c>
      <c r="G155" s="6" t="s">
        <v>196</v>
      </c>
      <c r="H155" s="6" t="s">
        <v>202</v>
      </c>
      <c r="I155" s="6" t="s">
        <v>198</v>
      </c>
    </row>
    <row r="156" customFormat="false" ht="15" hidden="false" customHeight="false" outlineLevel="0" collapsed="false">
      <c r="A156" s="6" t="s">
        <v>368</v>
      </c>
      <c r="B156" s="6" t="s">
        <v>194</v>
      </c>
      <c r="C156" s="9" t="str">
        <f aca="false">'Item Catalog'!$B$33</f>
        <v>ITM-031 · BIO FILTER 10SL ( QUARTERLY (1PC) FOR ALKALINE )</v>
      </c>
      <c r="D156" s="6" t="s">
        <v>195</v>
      </c>
      <c r="E156" s="6" t="n">
        <v>10</v>
      </c>
      <c r="F156" s="9"/>
      <c r="G156" s="6" t="s">
        <v>196</v>
      </c>
      <c r="H156" s="6" t="s">
        <v>197</v>
      </c>
      <c r="I156" s="6" t="s">
        <v>198</v>
      </c>
    </row>
    <row r="157" customFormat="false" ht="15" hidden="false" customHeight="false" outlineLevel="0" collapsed="false">
      <c r="A157" s="6" t="s">
        <v>369</v>
      </c>
      <c r="B157" s="6" t="s">
        <v>194</v>
      </c>
      <c r="C157" s="9" t="str">
        <f aca="false">'Item Catalog'!$B$33</f>
        <v>ITM-031 · BIO FILTER 10SL ( QUARTERLY (1PC) FOR ALKALINE )</v>
      </c>
      <c r="D157" s="6" t="s">
        <v>200</v>
      </c>
      <c r="E157" s="6" t="n">
        <v>2</v>
      </c>
      <c r="F157" s="9" t="s">
        <v>201</v>
      </c>
      <c r="G157" s="6" t="s">
        <v>196</v>
      </c>
      <c r="H157" s="6" t="s">
        <v>202</v>
      </c>
      <c r="I157" s="6" t="s">
        <v>198</v>
      </c>
    </row>
    <row r="158" customFormat="false" ht="15" hidden="false" customHeight="false" outlineLevel="0" collapsed="false">
      <c r="A158" s="6" t="s">
        <v>370</v>
      </c>
      <c r="B158" s="6" t="s">
        <v>194</v>
      </c>
      <c r="C158" s="9" t="str">
        <f aca="false">'Item Catalog'!$B$34</f>
        <v>ITM-032 · WOW 20" SLIM 5-MIC</v>
      </c>
      <c r="D158" s="6" t="s">
        <v>195</v>
      </c>
      <c r="E158" s="6" t="n">
        <v>25</v>
      </c>
      <c r="F158" s="9"/>
      <c r="G158" s="6" t="s">
        <v>196</v>
      </c>
      <c r="H158" s="6" t="s">
        <v>197</v>
      </c>
      <c r="I158" s="6" t="s">
        <v>198</v>
      </c>
    </row>
    <row r="159" customFormat="false" ht="15" hidden="false" customHeight="false" outlineLevel="0" collapsed="false">
      <c r="A159" s="6" t="s">
        <v>371</v>
      </c>
      <c r="B159" s="6" t="s">
        <v>194</v>
      </c>
      <c r="C159" s="9" t="str">
        <f aca="false">'Item Catalog'!$B$34</f>
        <v>ITM-032 · WOW 20" SLIM 5-MIC</v>
      </c>
      <c r="D159" s="6" t="s">
        <v>200</v>
      </c>
      <c r="E159" s="6" t="n">
        <v>2</v>
      </c>
      <c r="F159" s="9" t="s">
        <v>204</v>
      </c>
      <c r="G159" s="6" t="s">
        <v>196</v>
      </c>
      <c r="H159" s="6" t="s">
        <v>202</v>
      </c>
      <c r="I159" s="6" t="s">
        <v>198</v>
      </c>
    </row>
    <row r="160" customFormat="false" ht="15" hidden="false" customHeight="false" outlineLevel="0" collapsed="false">
      <c r="A160" s="6" t="s">
        <v>372</v>
      </c>
      <c r="B160" s="6" t="s">
        <v>194</v>
      </c>
      <c r="C160" s="9" t="str">
        <f aca="false">'Item Catalog'!$B$34</f>
        <v>ITM-032 · WOW 20" SLIM 5-MIC</v>
      </c>
      <c r="D160" s="6" t="s">
        <v>200</v>
      </c>
      <c r="E160" s="6" t="n">
        <v>4</v>
      </c>
      <c r="F160" s="9" t="s">
        <v>286</v>
      </c>
      <c r="G160" s="6" t="s">
        <v>196</v>
      </c>
      <c r="H160" s="6" t="s">
        <v>202</v>
      </c>
      <c r="I160" s="6" t="s">
        <v>198</v>
      </c>
    </row>
    <row r="161" customFormat="false" ht="15" hidden="false" customHeight="false" outlineLevel="0" collapsed="false">
      <c r="A161" s="6" t="s">
        <v>373</v>
      </c>
      <c r="B161" s="6" t="s">
        <v>194</v>
      </c>
      <c r="C161" s="9" t="str">
        <f aca="false">'Item Catalog'!$B$34</f>
        <v>ITM-032 · WOW 20" SLIM 5-MIC</v>
      </c>
      <c r="D161" s="6" t="s">
        <v>200</v>
      </c>
      <c r="E161" s="6" t="n">
        <v>4</v>
      </c>
      <c r="F161" s="9" t="s">
        <v>220</v>
      </c>
      <c r="G161" s="6" t="s">
        <v>196</v>
      </c>
      <c r="H161" s="6" t="s">
        <v>202</v>
      </c>
      <c r="I161" s="6" t="s">
        <v>198</v>
      </c>
    </row>
    <row r="162" customFormat="false" ht="15" hidden="false" customHeight="false" outlineLevel="0" collapsed="false">
      <c r="A162" s="6" t="s">
        <v>374</v>
      </c>
      <c r="B162" s="6" t="s">
        <v>194</v>
      </c>
      <c r="C162" s="9" t="str">
        <f aca="false">'Item Catalog'!$B$35</f>
        <v>ITM-033 · WOW 20" SLIM 1-MIC</v>
      </c>
      <c r="D162" s="6" t="s">
        <v>195</v>
      </c>
      <c r="E162" s="6" t="n">
        <v>25</v>
      </c>
      <c r="F162" s="9"/>
      <c r="G162" s="6" t="s">
        <v>196</v>
      </c>
      <c r="H162" s="6" t="s">
        <v>197</v>
      </c>
      <c r="I162" s="6" t="s">
        <v>198</v>
      </c>
    </row>
    <row r="163" customFormat="false" ht="15" hidden="false" customHeight="false" outlineLevel="0" collapsed="false">
      <c r="A163" s="6" t="s">
        <v>375</v>
      </c>
      <c r="B163" s="6" t="s">
        <v>194</v>
      </c>
      <c r="C163" s="9" t="str">
        <f aca="false">'Item Catalog'!$B$35</f>
        <v>ITM-033 · WOW 20" SLIM 1-MIC</v>
      </c>
      <c r="D163" s="6" t="s">
        <v>200</v>
      </c>
      <c r="E163" s="6" t="n">
        <v>2</v>
      </c>
      <c r="F163" s="9" t="s">
        <v>204</v>
      </c>
      <c r="G163" s="6" t="s">
        <v>196</v>
      </c>
      <c r="H163" s="6" t="s">
        <v>202</v>
      </c>
      <c r="I163" s="6" t="s">
        <v>198</v>
      </c>
    </row>
    <row r="164" customFormat="false" ht="15" hidden="false" customHeight="false" outlineLevel="0" collapsed="false">
      <c r="A164" s="6" t="s">
        <v>376</v>
      </c>
      <c r="B164" s="6" t="s">
        <v>194</v>
      </c>
      <c r="C164" s="9" t="str">
        <f aca="false">'Item Catalog'!$B$35</f>
        <v>ITM-033 · WOW 20" SLIM 1-MIC</v>
      </c>
      <c r="D164" s="6" t="s">
        <v>200</v>
      </c>
      <c r="E164" s="6" t="n">
        <v>1</v>
      </c>
      <c r="F164" s="9" t="s">
        <v>218</v>
      </c>
      <c r="G164" s="6" t="s">
        <v>196</v>
      </c>
      <c r="H164" s="6" t="s">
        <v>202</v>
      </c>
      <c r="I164" s="6" t="s">
        <v>198</v>
      </c>
    </row>
    <row r="165" customFormat="false" ht="15" hidden="false" customHeight="false" outlineLevel="0" collapsed="false">
      <c r="A165" s="6" t="s">
        <v>377</v>
      </c>
      <c r="B165" s="6" t="s">
        <v>194</v>
      </c>
      <c r="C165" s="9" t="str">
        <f aca="false">'Item Catalog'!$B$35</f>
        <v>ITM-033 · WOW 20" SLIM 1-MIC</v>
      </c>
      <c r="D165" s="6" t="s">
        <v>200</v>
      </c>
      <c r="E165" s="6" t="n">
        <v>4</v>
      </c>
      <c r="F165" s="9" t="s">
        <v>286</v>
      </c>
      <c r="G165" s="6" t="s">
        <v>196</v>
      </c>
      <c r="H165" s="6" t="s">
        <v>202</v>
      </c>
      <c r="I165" s="6" t="s">
        <v>198</v>
      </c>
    </row>
    <row r="166" customFormat="false" ht="15" hidden="false" customHeight="false" outlineLevel="0" collapsed="false">
      <c r="A166" s="6" t="s">
        <v>378</v>
      </c>
      <c r="B166" s="6" t="s">
        <v>194</v>
      </c>
      <c r="C166" s="9" t="str">
        <f aca="false">'Item Catalog'!$B$35</f>
        <v>ITM-033 · WOW 20" SLIM 1-MIC</v>
      </c>
      <c r="D166" s="6" t="s">
        <v>200</v>
      </c>
      <c r="E166" s="6" t="n">
        <v>3</v>
      </c>
      <c r="F166" s="9" t="s">
        <v>220</v>
      </c>
      <c r="G166" s="6" t="s">
        <v>196</v>
      </c>
      <c r="H166" s="6" t="s">
        <v>202</v>
      </c>
      <c r="I166" s="6" t="s">
        <v>198</v>
      </c>
    </row>
    <row r="167" customFormat="false" ht="15" hidden="false" customHeight="false" outlineLevel="0" collapsed="false">
      <c r="A167" s="6" t="s">
        <v>379</v>
      </c>
      <c r="B167" s="6" t="s">
        <v>194</v>
      </c>
      <c r="C167" s="9" t="str">
        <f aca="false">'Item Catalog'!$B$36</f>
        <v>ITM-034 · WOW 10" SLIM 1-MIC</v>
      </c>
      <c r="D167" s="6" t="s">
        <v>195</v>
      </c>
      <c r="E167" s="6" t="n">
        <v>25</v>
      </c>
      <c r="F167" s="9"/>
      <c r="G167" s="6" t="s">
        <v>196</v>
      </c>
      <c r="H167" s="6" t="s">
        <v>197</v>
      </c>
      <c r="I167" s="6" t="s">
        <v>198</v>
      </c>
    </row>
    <row r="168" customFormat="false" ht="15" hidden="false" customHeight="false" outlineLevel="0" collapsed="false">
      <c r="A168" s="6" t="s">
        <v>380</v>
      </c>
      <c r="B168" s="6" t="s">
        <v>194</v>
      </c>
      <c r="C168" s="9" t="str">
        <f aca="false">'Item Catalog'!$B$37</f>
        <v>ITM-035 · UV LAMPS: UVC-PRO 6 GPM 14W</v>
      </c>
      <c r="D168" s="6" t="s">
        <v>195</v>
      </c>
      <c r="E168" s="6" t="n">
        <v>4</v>
      </c>
      <c r="F168" s="9"/>
      <c r="G168" s="6" t="s">
        <v>196</v>
      </c>
      <c r="H168" s="6" t="s">
        <v>197</v>
      </c>
      <c r="I168" s="6" t="s">
        <v>198</v>
      </c>
    </row>
    <row r="169" customFormat="false" ht="15" hidden="false" customHeight="false" outlineLevel="0" collapsed="false">
      <c r="A169" s="6" t="s">
        <v>381</v>
      </c>
      <c r="B169" s="6" t="s">
        <v>194</v>
      </c>
      <c r="C169" s="9" t="str">
        <f aca="false">'Item Catalog'!$B$38</f>
        <v>ITM-036 · 350 ML PET BOTTLE (WITH CAP)</v>
      </c>
      <c r="D169" s="6" t="s">
        <v>195</v>
      </c>
      <c r="E169" s="6" t="n">
        <v>32</v>
      </c>
      <c r="F169" s="9"/>
      <c r="G169" s="6" t="s">
        <v>196</v>
      </c>
      <c r="H169" s="6" t="s">
        <v>197</v>
      </c>
      <c r="I169" s="6" t="s">
        <v>198</v>
      </c>
    </row>
    <row r="170" customFormat="false" ht="15" hidden="false" customHeight="false" outlineLevel="0" collapsed="false">
      <c r="A170" s="6" t="s">
        <v>382</v>
      </c>
      <c r="B170" s="6" t="s">
        <v>194</v>
      </c>
      <c r="C170" s="9" t="str">
        <f aca="false">'Item Catalog'!$B$38</f>
        <v>ITM-036 · 350 ML PET BOTTLE (WITH CAP)</v>
      </c>
      <c r="D170" s="6" t="s">
        <v>200</v>
      </c>
      <c r="E170" s="6" t="n">
        <v>19</v>
      </c>
      <c r="F170" s="9" t="s">
        <v>201</v>
      </c>
      <c r="G170" s="6" t="s">
        <v>196</v>
      </c>
      <c r="H170" s="6" t="s">
        <v>202</v>
      </c>
      <c r="I170" s="6" t="s">
        <v>198</v>
      </c>
    </row>
    <row r="171" customFormat="false" ht="15" hidden="false" customHeight="false" outlineLevel="0" collapsed="false">
      <c r="A171" s="6" t="s">
        <v>383</v>
      </c>
      <c r="B171" s="6" t="s">
        <v>194</v>
      </c>
      <c r="C171" s="9" t="str">
        <f aca="false">'Item Catalog'!$B$38</f>
        <v>ITM-036 · 350 ML PET BOTTLE (WITH CAP)</v>
      </c>
      <c r="D171" s="6" t="s">
        <v>200</v>
      </c>
      <c r="E171" s="6" t="n">
        <v>2</v>
      </c>
      <c r="F171" s="9" t="s">
        <v>210</v>
      </c>
      <c r="G171" s="6" t="s">
        <v>196</v>
      </c>
      <c r="H171" s="6" t="s">
        <v>202</v>
      </c>
      <c r="I171" s="6" t="s">
        <v>198</v>
      </c>
    </row>
    <row r="172" customFormat="false" ht="15" hidden="false" customHeight="false" outlineLevel="0" collapsed="false">
      <c r="A172" s="6" t="s">
        <v>384</v>
      </c>
      <c r="B172" s="6" t="s">
        <v>194</v>
      </c>
      <c r="C172" s="9" t="str">
        <f aca="false">'Item Catalog'!$B$38</f>
        <v>ITM-036 · 350 ML PET BOTTLE (WITH CAP)</v>
      </c>
      <c r="D172" s="6" t="s">
        <v>200</v>
      </c>
      <c r="E172" s="6" t="n">
        <v>2</v>
      </c>
      <c r="F172" s="9" t="s">
        <v>218</v>
      </c>
      <c r="G172" s="6" t="s">
        <v>196</v>
      </c>
      <c r="H172" s="6" t="s">
        <v>202</v>
      </c>
      <c r="I172" s="6" t="s">
        <v>198</v>
      </c>
    </row>
    <row r="173" customFormat="false" ht="15" hidden="false" customHeight="false" outlineLevel="0" collapsed="false">
      <c r="A173" s="6" t="s">
        <v>385</v>
      </c>
      <c r="B173" s="6" t="s">
        <v>194</v>
      </c>
      <c r="C173" s="9" t="str">
        <f aca="false">'Item Catalog'!$B$39</f>
        <v>ITM-037 · 350 ML PET BOTTLE (WITH CAP)</v>
      </c>
      <c r="D173" s="6" t="s">
        <v>195</v>
      </c>
      <c r="E173" s="6" t="n">
        <v>15</v>
      </c>
      <c r="F173" s="9"/>
      <c r="G173" s="6" t="s">
        <v>196</v>
      </c>
      <c r="H173" s="6" t="s">
        <v>197</v>
      </c>
      <c r="I173" s="6" t="s">
        <v>198</v>
      </c>
    </row>
    <row r="174" customFormat="false" ht="15" hidden="false" customHeight="false" outlineLevel="0" collapsed="false">
      <c r="A174" s="6" t="s">
        <v>386</v>
      </c>
      <c r="B174" s="6" t="s">
        <v>194</v>
      </c>
      <c r="C174" s="9" t="str">
        <f aca="false">'Item Catalog'!$B$39</f>
        <v>ITM-037 · 350 ML PET BOTTLE (WITH CAP)</v>
      </c>
      <c r="D174" s="6" t="s">
        <v>200</v>
      </c>
      <c r="E174" s="6" t="n">
        <v>4</v>
      </c>
      <c r="F174" s="9" t="s">
        <v>201</v>
      </c>
      <c r="G174" s="6" t="s">
        <v>196</v>
      </c>
      <c r="H174" s="6" t="s">
        <v>202</v>
      </c>
      <c r="I174" s="6" t="s">
        <v>198</v>
      </c>
    </row>
    <row r="175" customFormat="false" ht="15" hidden="false" customHeight="false" outlineLevel="0" collapsed="false">
      <c r="A175" s="6" t="s">
        <v>387</v>
      </c>
      <c r="B175" s="6" t="s">
        <v>194</v>
      </c>
      <c r="C175" s="9" t="str">
        <f aca="false">'Item Catalog'!$B$39</f>
        <v>ITM-037 · 350 ML PET BOTTLE (WITH CAP)</v>
      </c>
      <c r="D175" s="6" t="s">
        <v>200</v>
      </c>
      <c r="E175" s="6" t="n">
        <v>1</v>
      </c>
      <c r="F175" s="9" t="s">
        <v>361</v>
      </c>
      <c r="G175" s="6" t="s">
        <v>196</v>
      </c>
      <c r="H175" s="6" t="s">
        <v>202</v>
      </c>
      <c r="I175" s="6" t="s">
        <v>198</v>
      </c>
    </row>
    <row r="176" customFormat="false" ht="15" hidden="false" customHeight="false" outlineLevel="0" collapsed="false">
      <c r="A176" s="6" t="s">
        <v>388</v>
      </c>
      <c r="B176" s="6" t="s">
        <v>194</v>
      </c>
      <c r="C176" s="9" t="str">
        <f aca="false">'Item Catalog'!$B$39</f>
        <v>ITM-037 · 350 ML PET BOTTLE (WITH CAP)</v>
      </c>
      <c r="D176" s="6" t="s">
        <v>200</v>
      </c>
      <c r="E176" s="6" t="n">
        <v>9</v>
      </c>
      <c r="F176" s="9" t="s">
        <v>210</v>
      </c>
      <c r="G176" s="6" t="s">
        <v>196</v>
      </c>
      <c r="H176" s="6" t="s">
        <v>202</v>
      </c>
      <c r="I176" s="6" t="s">
        <v>198</v>
      </c>
    </row>
    <row r="177" customFormat="false" ht="15" hidden="false" customHeight="false" outlineLevel="0" collapsed="false">
      <c r="A177" s="6" t="s">
        <v>389</v>
      </c>
      <c r="B177" s="6" t="s">
        <v>194</v>
      </c>
      <c r="C177" s="9" t="str">
        <f aca="false">'Item Catalog'!$B$39</f>
        <v>ITM-037 · 350 ML PET BOTTLE (WITH CAP)</v>
      </c>
      <c r="D177" s="6" t="s">
        <v>200</v>
      </c>
      <c r="E177" s="6" t="n">
        <v>1</v>
      </c>
      <c r="F177" s="9" t="s">
        <v>218</v>
      </c>
      <c r="G177" s="6" t="s">
        <v>196</v>
      </c>
      <c r="H177" s="6" t="s">
        <v>202</v>
      </c>
      <c r="I177" s="6" t="s">
        <v>198</v>
      </c>
    </row>
    <row r="178" customFormat="false" ht="15" hidden="false" customHeight="false" outlineLevel="0" collapsed="false">
      <c r="A178" s="6" t="s">
        <v>390</v>
      </c>
      <c r="B178" s="6" t="s">
        <v>194</v>
      </c>
      <c r="C178" s="9" t="str">
        <f aca="false">'Item Catalog'!$B$40</f>
        <v>ITM-038 · 500 ML PET BOTTLE (WITH CAP)</v>
      </c>
      <c r="D178" s="6" t="s">
        <v>195</v>
      </c>
      <c r="E178" s="6" t="n">
        <v>10</v>
      </c>
      <c r="F178" s="9"/>
      <c r="G178" s="6" t="s">
        <v>196</v>
      </c>
      <c r="H178" s="6" t="s">
        <v>197</v>
      </c>
      <c r="I178" s="6" t="s">
        <v>198</v>
      </c>
    </row>
    <row r="179" customFormat="false" ht="15" hidden="false" customHeight="false" outlineLevel="0" collapsed="false">
      <c r="A179" s="6" t="s">
        <v>391</v>
      </c>
      <c r="B179" s="6" t="s">
        <v>194</v>
      </c>
      <c r="C179" s="9" t="str">
        <f aca="false">'Item Catalog'!$B$40</f>
        <v>ITM-038 · 500 ML PET BOTTLE (WITH CAP)</v>
      </c>
      <c r="D179" s="6" t="s">
        <v>200</v>
      </c>
      <c r="E179" s="6" t="n">
        <v>4</v>
      </c>
      <c r="F179" s="9" t="s">
        <v>201</v>
      </c>
      <c r="G179" s="6" t="s">
        <v>196</v>
      </c>
      <c r="H179" s="6" t="s">
        <v>202</v>
      </c>
      <c r="I179" s="6" t="s">
        <v>198</v>
      </c>
    </row>
    <row r="180" customFormat="false" ht="15" hidden="false" customHeight="false" outlineLevel="0" collapsed="false">
      <c r="A180" s="6" t="s">
        <v>392</v>
      </c>
      <c r="B180" s="6" t="s">
        <v>194</v>
      </c>
      <c r="C180" s="9" t="str">
        <f aca="false">'Item Catalog'!$B$41</f>
        <v>ITM-039 · 1000 ML PET BOTTLE (WITH CAP)</v>
      </c>
      <c r="D180" s="6" t="s">
        <v>195</v>
      </c>
      <c r="E180" s="6" t="n">
        <v>10</v>
      </c>
      <c r="F180" s="9"/>
      <c r="G180" s="6" t="s">
        <v>196</v>
      </c>
      <c r="H180" s="6" t="s">
        <v>197</v>
      </c>
      <c r="I180" s="6" t="s">
        <v>198</v>
      </c>
    </row>
    <row r="181" customFormat="false" ht="15" hidden="false" customHeight="false" outlineLevel="0" collapsed="false">
      <c r="A181" s="6" t="s">
        <v>393</v>
      </c>
      <c r="B181" s="6" t="s">
        <v>194</v>
      </c>
      <c r="C181" s="9" t="str">
        <f aca="false">'Item Catalog'!$B$41</f>
        <v>ITM-039 · 1000 ML PET BOTTLE (WITH CAP)</v>
      </c>
      <c r="D181" s="6" t="s">
        <v>200</v>
      </c>
      <c r="E181" s="6" t="n">
        <v>3</v>
      </c>
      <c r="F181" s="9" t="s">
        <v>201</v>
      </c>
      <c r="G181" s="6" t="s">
        <v>196</v>
      </c>
      <c r="H181" s="6" t="s">
        <v>202</v>
      </c>
      <c r="I181" s="6" t="s">
        <v>198</v>
      </c>
    </row>
    <row r="182" customFormat="false" ht="15" hidden="false" customHeight="false" outlineLevel="0" collapsed="false">
      <c r="A182" s="6" t="s">
        <v>394</v>
      </c>
      <c r="B182" s="6" t="s">
        <v>194</v>
      </c>
      <c r="C182" s="9" t="str">
        <f aca="false">'Item Catalog'!$B$42</f>
        <v>ITM-040 · 350 ML LABEL SHRINKABLE LW</v>
      </c>
      <c r="D182" s="6" t="s">
        <v>195</v>
      </c>
      <c r="E182" s="6" t="n">
        <v>34</v>
      </c>
      <c r="F182" s="9"/>
      <c r="G182" s="6" t="s">
        <v>196</v>
      </c>
      <c r="H182" s="6" t="s">
        <v>197</v>
      </c>
      <c r="I182" s="6" t="s">
        <v>198</v>
      </c>
    </row>
    <row r="183" customFormat="false" ht="15" hidden="false" customHeight="false" outlineLevel="0" collapsed="false">
      <c r="A183" s="6" t="s">
        <v>395</v>
      </c>
      <c r="B183" s="6" t="s">
        <v>194</v>
      </c>
      <c r="C183" s="9" t="str">
        <f aca="false">'Item Catalog'!$B$42</f>
        <v>ITM-040 · 350 ML LABEL SHRINKABLE LW</v>
      </c>
      <c r="D183" s="6" t="s">
        <v>200</v>
      </c>
      <c r="E183" s="6" t="n">
        <v>8</v>
      </c>
      <c r="F183" s="9" t="s">
        <v>201</v>
      </c>
      <c r="G183" s="6" t="s">
        <v>196</v>
      </c>
      <c r="H183" s="6" t="s">
        <v>202</v>
      </c>
      <c r="I183" s="6" t="s">
        <v>198</v>
      </c>
    </row>
    <row r="184" customFormat="false" ht="15" hidden="false" customHeight="false" outlineLevel="0" collapsed="false">
      <c r="A184" s="6" t="s">
        <v>396</v>
      </c>
      <c r="B184" s="6" t="s">
        <v>194</v>
      </c>
      <c r="C184" s="9" t="str">
        <f aca="false">'Item Catalog'!$B$42</f>
        <v>ITM-040 · 350 ML LABEL SHRINKABLE LW</v>
      </c>
      <c r="D184" s="6" t="s">
        <v>200</v>
      </c>
      <c r="E184" s="6" t="n">
        <v>11</v>
      </c>
      <c r="F184" s="9" t="s">
        <v>210</v>
      </c>
      <c r="G184" s="6" t="s">
        <v>196</v>
      </c>
      <c r="H184" s="6" t="s">
        <v>202</v>
      </c>
      <c r="I184" s="6" t="s">
        <v>198</v>
      </c>
    </row>
    <row r="185" customFormat="false" ht="15" hidden="false" customHeight="false" outlineLevel="0" collapsed="false">
      <c r="A185" s="6" t="s">
        <v>397</v>
      </c>
      <c r="B185" s="6" t="s">
        <v>194</v>
      </c>
      <c r="C185" s="9" t="str">
        <f aca="false">'Item Catalog'!$B$43</f>
        <v>ITM-041 · 500 ML LABEL SHRINKABLE LW</v>
      </c>
      <c r="D185" s="6" t="s">
        <v>195</v>
      </c>
      <c r="E185" s="6" t="n">
        <v>5</v>
      </c>
      <c r="F185" s="9"/>
      <c r="G185" s="6" t="s">
        <v>196</v>
      </c>
      <c r="H185" s="6" t="s">
        <v>197</v>
      </c>
      <c r="I185" s="6" t="s">
        <v>198</v>
      </c>
    </row>
    <row r="186" customFormat="false" ht="15" hidden="false" customHeight="false" outlineLevel="0" collapsed="false">
      <c r="A186" s="6" t="s">
        <v>398</v>
      </c>
      <c r="B186" s="6" t="s">
        <v>194</v>
      </c>
      <c r="C186" s="9" t="str">
        <f aca="false">'Item Catalog'!$B$44</f>
        <v>ITM-042 · 1000 ML LABEL SHRINKABLE LW</v>
      </c>
      <c r="D186" s="6" t="s">
        <v>195</v>
      </c>
      <c r="E186" s="6" t="n">
        <v>5</v>
      </c>
      <c r="F186" s="9"/>
      <c r="G186" s="6" t="s">
        <v>196</v>
      </c>
      <c r="H186" s="6" t="s">
        <v>197</v>
      </c>
      <c r="I186" s="6" t="s">
        <v>198</v>
      </c>
    </row>
    <row r="187" customFormat="false" ht="15" hidden="false" customHeight="false" outlineLevel="0" collapsed="false">
      <c r="A187" s="6" t="s">
        <v>399</v>
      </c>
      <c r="B187" s="6" t="s">
        <v>194</v>
      </c>
      <c r="C187" s="9" t="str">
        <f aca="false">'Item Catalog'!$B$44</f>
        <v>ITM-042 · 1000 ML LABEL SHRINKABLE LW</v>
      </c>
      <c r="D187" s="6" t="s">
        <v>200</v>
      </c>
      <c r="E187" s="6" t="n">
        <v>1</v>
      </c>
      <c r="F187" s="9" t="s">
        <v>201</v>
      </c>
      <c r="G187" s="6" t="s">
        <v>196</v>
      </c>
      <c r="H187" s="6" t="s">
        <v>202</v>
      </c>
      <c r="I187" s="6" t="s">
        <v>198</v>
      </c>
    </row>
    <row r="188" customFormat="false" ht="15" hidden="false" customHeight="false" outlineLevel="0" collapsed="false">
      <c r="A188" s="6" t="s">
        <v>400</v>
      </c>
      <c r="B188" s="6" t="s">
        <v>194</v>
      </c>
      <c r="C188" s="9" t="str">
        <f aca="false">'Item Catalog'!$B$45</f>
        <v>ITM-043 · 350 ML LABEL SHRINKABLE REFRESHING</v>
      </c>
      <c r="D188" s="6" t="s">
        <v>195</v>
      </c>
      <c r="E188" s="6" t="n">
        <v>10</v>
      </c>
      <c r="F188" s="9"/>
      <c r="G188" s="6" t="s">
        <v>196</v>
      </c>
      <c r="H188" s="6" t="s">
        <v>197</v>
      </c>
      <c r="I188" s="6" t="s">
        <v>198</v>
      </c>
    </row>
    <row r="189" customFormat="false" ht="15" hidden="false" customHeight="false" outlineLevel="0" collapsed="false">
      <c r="A189" s="6" t="s">
        <v>401</v>
      </c>
      <c r="B189" s="6" t="s">
        <v>194</v>
      </c>
      <c r="C189" s="9" t="str">
        <f aca="false">'Item Catalog'!$B$45</f>
        <v>ITM-043 · 350 ML LABEL SHRINKABLE REFRESHING</v>
      </c>
      <c r="D189" s="6" t="s">
        <v>200</v>
      </c>
      <c r="E189" s="6" t="n">
        <v>2</v>
      </c>
      <c r="F189" s="9" t="s">
        <v>218</v>
      </c>
      <c r="G189" s="6" t="s">
        <v>196</v>
      </c>
      <c r="H189" s="6" t="s">
        <v>202</v>
      </c>
      <c r="I189" s="6" t="s">
        <v>198</v>
      </c>
    </row>
    <row r="190" customFormat="false" ht="15" hidden="false" customHeight="false" outlineLevel="0" collapsed="false">
      <c r="A190" s="6" t="s">
        <v>402</v>
      </c>
      <c r="B190" s="6" t="s">
        <v>194</v>
      </c>
      <c r="C190" s="9" t="str">
        <f aca="false">'Item Catalog'!$B$46</f>
        <v>ITM-044 · 500 ML LABEL SHRINKABLE REFRESHING</v>
      </c>
      <c r="D190" s="6" t="s">
        <v>195</v>
      </c>
      <c r="E190" s="6" t="n">
        <v>5</v>
      </c>
      <c r="F190" s="9"/>
      <c r="G190" s="6" t="s">
        <v>196</v>
      </c>
      <c r="H190" s="6" t="s">
        <v>197</v>
      </c>
      <c r="I190" s="6" t="s">
        <v>198</v>
      </c>
    </row>
    <row r="191" customFormat="false" ht="15" hidden="false" customHeight="false" outlineLevel="0" collapsed="false">
      <c r="A191" s="6" t="s">
        <v>403</v>
      </c>
      <c r="B191" s="6" t="s">
        <v>194</v>
      </c>
      <c r="C191" s="9" t="str">
        <f aca="false">'Item Catalog'!$B$47</f>
        <v>ITM-045 · STICKER LW WITH PIOLO - 5 GAL 6X4</v>
      </c>
      <c r="D191" s="6" t="s">
        <v>195</v>
      </c>
      <c r="E191" s="6" t="n">
        <v>11</v>
      </c>
      <c r="F191" s="9"/>
      <c r="G191" s="6" t="s">
        <v>196</v>
      </c>
      <c r="H191" s="6" t="s">
        <v>197</v>
      </c>
      <c r="I191" s="6" t="s">
        <v>198</v>
      </c>
    </row>
    <row r="192" customFormat="false" ht="15" hidden="false" customHeight="false" outlineLevel="0" collapsed="false">
      <c r="A192" s="6" t="s">
        <v>404</v>
      </c>
      <c r="B192" s="6" t="s">
        <v>194</v>
      </c>
      <c r="C192" s="9" t="str">
        <f aca="false">'Item Catalog'!$B$47</f>
        <v>ITM-045 · STICKER LW WITH PIOLO - 5 GAL 6X4</v>
      </c>
      <c r="D192" s="6" t="s">
        <v>200</v>
      </c>
      <c r="E192" s="6" t="n">
        <v>2</v>
      </c>
      <c r="F192" s="9" t="s">
        <v>201</v>
      </c>
      <c r="G192" s="6" t="s">
        <v>196</v>
      </c>
      <c r="H192" s="6" t="s">
        <v>202</v>
      </c>
      <c r="I192" s="6" t="s">
        <v>198</v>
      </c>
    </row>
    <row r="193" customFormat="false" ht="15" hidden="false" customHeight="false" outlineLevel="0" collapsed="false">
      <c r="A193" s="6" t="s">
        <v>405</v>
      </c>
      <c r="B193" s="6" t="s">
        <v>194</v>
      </c>
      <c r="C193" s="9" t="str">
        <f aca="false">'Item Catalog'!$B$48</f>
        <v>ITM-046 · BIG CAP REPLACEMENT - 5 GAL SLIM</v>
      </c>
      <c r="D193" s="6" t="s">
        <v>195</v>
      </c>
      <c r="E193" s="6" t="n">
        <v>500</v>
      </c>
      <c r="F193" s="9"/>
      <c r="G193" s="6" t="s">
        <v>196</v>
      </c>
      <c r="H193" s="6" t="s">
        <v>197</v>
      </c>
      <c r="I193" s="6" t="s">
        <v>198</v>
      </c>
    </row>
    <row r="194" customFormat="false" ht="15" hidden="false" customHeight="false" outlineLevel="0" collapsed="false">
      <c r="A194" s="6" t="s">
        <v>406</v>
      </c>
      <c r="B194" s="6" t="s">
        <v>194</v>
      </c>
      <c r="C194" s="9" t="str">
        <f aca="false">'Item Catalog'!$B$48</f>
        <v>ITM-046 · BIG CAP REPLACEMENT - 5 GAL SLIM</v>
      </c>
      <c r="D194" s="6" t="s">
        <v>200</v>
      </c>
      <c r="E194" s="6" t="n">
        <v>23</v>
      </c>
      <c r="F194" s="9" t="s">
        <v>201</v>
      </c>
      <c r="G194" s="6" t="s">
        <v>196</v>
      </c>
      <c r="H194" s="6" t="s">
        <v>202</v>
      </c>
      <c r="I194" s="6" t="s">
        <v>198</v>
      </c>
    </row>
    <row r="195" customFormat="false" ht="15" hidden="false" customHeight="false" outlineLevel="0" collapsed="false">
      <c r="A195" s="6" t="s">
        <v>407</v>
      </c>
      <c r="B195" s="6" t="s">
        <v>194</v>
      </c>
      <c r="C195" s="9" t="str">
        <f aca="false">'Item Catalog'!$B$48</f>
        <v>ITM-046 · BIG CAP REPLACEMENT - 5 GAL SLIM</v>
      </c>
      <c r="D195" s="6" t="s">
        <v>200</v>
      </c>
      <c r="E195" s="6" t="n">
        <v>6</v>
      </c>
      <c r="F195" s="9" t="s">
        <v>204</v>
      </c>
      <c r="G195" s="6" t="s">
        <v>196</v>
      </c>
      <c r="H195" s="6" t="s">
        <v>202</v>
      </c>
      <c r="I195" s="6" t="s">
        <v>198</v>
      </c>
    </row>
    <row r="196" customFormat="false" ht="15" hidden="false" customHeight="false" outlineLevel="0" collapsed="false">
      <c r="A196" s="6" t="s">
        <v>408</v>
      </c>
      <c r="B196" s="6" t="s">
        <v>194</v>
      </c>
      <c r="C196" s="9" t="str">
        <f aca="false">'Item Catalog'!$B$48</f>
        <v>ITM-046 · BIG CAP REPLACEMENT - 5 GAL SLIM</v>
      </c>
      <c r="D196" s="6" t="s">
        <v>200</v>
      </c>
      <c r="E196" s="6" t="n">
        <v>55</v>
      </c>
      <c r="F196" s="9" t="s">
        <v>206</v>
      </c>
      <c r="G196" s="6" t="s">
        <v>196</v>
      </c>
      <c r="H196" s="6" t="s">
        <v>202</v>
      </c>
      <c r="I196" s="6" t="s">
        <v>198</v>
      </c>
    </row>
    <row r="197" customFormat="false" ht="15" hidden="false" customHeight="false" outlineLevel="0" collapsed="false">
      <c r="A197" s="6" t="s">
        <v>409</v>
      </c>
      <c r="B197" s="6" t="s">
        <v>194</v>
      </c>
      <c r="C197" s="9" t="str">
        <f aca="false">'Item Catalog'!$B$48</f>
        <v>ITM-046 · BIG CAP REPLACEMENT - 5 GAL SLIM</v>
      </c>
      <c r="D197" s="6" t="s">
        <v>200</v>
      </c>
      <c r="E197" s="6" t="n">
        <v>100</v>
      </c>
      <c r="F197" s="9" t="s">
        <v>263</v>
      </c>
      <c r="G197" s="6" t="s">
        <v>196</v>
      </c>
      <c r="H197" s="6" t="s">
        <v>202</v>
      </c>
      <c r="I197" s="6" t="s">
        <v>198</v>
      </c>
    </row>
    <row r="198" customFormat="false" ht="15" hidden="false" customHeight="false" outlineLevel="0" collapsed="false">
      <c r="A198" s="6" t="s">
        <v>410</v>
      </c>
      <c r="B198" s="6" t="s">
        <v>194</v>
      </c>
      <c r="C198" s="9" t="str">
        <f aca="false">'Item Catalog'!$B$48</f>
        <v>ITM-046 · BIG CAP REPLACEMENT - 5 GAL SLIM</v>
      </c>
      <c r="D198" s="6" t="s">
        <v>200</v>
      </c>
      <c r="E198" s="6" t="n">
        <v>20</v>
      </c>
      <c r="F198" s="9" t="s">
        <v>210</v>
      </c>
      <c r="G198" s="6" t="s">
        <v>196</v>
      </c>
      <c r="H198" s="6" t="s">
        <v>202</v>
      </c>
      <c r="I198" s="6" t="s">
        <v>198</v>
      </c>
    </row>
    <row r="199" customFormat="false" ht="15" hidden="false" customHeight="false" outlineLevel="0" collapsed="false">
      <c r="A199" s="6" t="s">
        <v>411</v>
      </c>
      <c r="B199" s="6" t="s">
        <v>194</v>
      </c>
      <c r="C199" s="9" t="str">
        <f aca="false">'Item Catalog'!$B$48</f>
        <v>ITM-046 · BIG CAP REPLACEMENT - 5 GAL SLIM</v>
      </c>
      <c r="D199" s="6" t="s">
        <v>200</v>
      </c>
      <c r="E199" s="6" t="n">
        <v>55</v>
      </c>
      <c r="F199" s="9" t="s">
        <v>214</v>
      </c>
      <c r="G199" s="6" t="s">
        <v>196</v>
      </c>
      <c r="H199" s="6" t="s">
        <v>202</v>
      </c>
      <c r="I199" s="6" t="s">
        <v>198</v>
      </c>
    </row>
    <row r="200" customFormat="false" ht="15" hidden="false" customHeight="false" outlineLevel="0" collapsed="false">
      <c r="A200" s="6" t="s">
        <v>412</v>
      </c>
      <c r="B200" s="6" t="s">
        <v>194</v>
      </c>
      <c r="C200" s="9" t="str">
        <f aca="false">'Item Catalog'!$B$49</f>
        <v>ITM-047 · SMALL CAP REPLACEMENT - 5 GAL SLIM</v>
      </c>
      <c r="D200" s="6" t="s">
        <v>195</v>
      </c>
      <c r="E200" s="6" t="n">
        <v>1500</v>
      </c>
      <c r="F200" s="9"/>
      <c r="G200" s="6" t="s">
        <v>196</v>
      </c>
      <c r="H200" s="6" t="s">
        <v>197</v>
      </c>
      <c r="I200" s="6" t="s">
        <v>198</v>
      </c>
    </row>
    <row r="201" customFormat="false" ht="15" hidden="false" customHeight="false" outlineLevel="0" collapsed="false">
      <c r="A201" s="6" t="s">
        <v>413</v>
      </c>
      <c r="B201" s="6" t="s">
        <v>194</v>
      </c>
      <c r="C201" s="9" t="str">
        <f aca="false">'Item Catalog'!$B$49</f>
        <v>ITM-047 · SMALL CAP REPLACEMENT - 5 GAL SLIM</v>
      </c>
      <c r="D201" s="6" t="s">
        <v>200</v>
      </c>
      <c r="E201" s="6" t="n">
        <v>46</v>
      </c>
      <c r="F201" s="9" t="s">
        <v>201</v>
      </c>
      <c r="G201" s="6" t="s">
        <v>196</v>
      </c>
      <c r="H201" s="6" t="s">
        <v>202</v>
      </c>
      <c r="I201" s="6" t="s">
        <v>198</v>
      </c>
    </row>
    <row r="202" customFormat="false" ht="15" hidden="false" customHeight="false" outlineLevel="0" collapsed="false">
      <c r="A202" s="6" t="s">
        <v>414</v>
      </c>
      <c r="B202" s="6" t="s">
        <v>194</v>
      </c>
      <c r="C202" s="9" t="str">
        <f aca="false">'Item Catalog'!$B$49</f>
        <v>ITM-047 · SMALL CAP REPLACEMENT - 5 GAL SLIM</v>
      </c>
      <c r="D202" s="6" t="s">
        <v>200</v>
      </c>
      <c r="E202" s="6" t="n">
        <v>175</v>
      </c>
      <c r="F202" s="9" t="s">
        <v>206</v>
      </c>
      <c r="G202" s="6" t="s">
        <v>196</v>
      </c>
      <c r="H202" s="6" t="s">
        <v>202</v>
      </c>
      <c r="I202" s="6" t="s">
        <v>198</v>
      </c>
    </row>
    <row r="203" customFormat="false" ht="15" hidden="false" customHeight="false" outlineLevel="0" collapsed="false">
      <c r="A203" s="6" t="s">
        <v>415</v>
      </c>
      <c r="B203" s="6" t="s">
        <v>194</v>
      </c>
      <c r="C203" s="9" t="str">
        <f aca="false">'Item Catalog'!$B$49</f>
        <v>ITM-047 · SMALL CAP REPLACEMENT - 5 GAL SLIM</v>
      </c>
      <c r="D203" s="6" t="s">
        <v>200</v>
      </c>
      <c r="E203" s="6" t="n">
        <v>100</v>
      </c>
      <c r="F203" s="9" t="s">
        <v>263</v>
      </c>
      <c r="G203" s="6" t="s">
        <v>196</v>
      </c>
      <c r="H203" s="6" t="s">
        <v>202</v>
      </c>
      <c r="I203" s="6" t="s">
        <v>198</v>
      </c>
    </row>
    <row r="204" customFormat="false" ht="15" hidden="false" customHeight="false" outlineLevel="0" collapsed="false">
      <c r="A204" s="6" t="s">
        <v>416</v>
      </c>
      <c r="B204" s="6" t="s">
        <v>194</v>
      </c>
      <c r="C204" s="9" t="str">
        <f aca="false">'Item Catalog'!$B$49</f>
        <v>ITM-047 · SMALL CAP REPLACEMENT - 5 GAL SLIM</v>
      </c>
      <c r="D204" s="6" t="s">
        <v>200</v>
      </c>
      <c r="E204" s="6" t="n">
        <v>20</v>
      </c>
      <c r="F204" s="9" t="s">
        <v>210</v>
      </c>
      <c r="G204" s="6" t="s">
        <v>196</v>
      </c>
      <c r="H204" s="6" t="s">
        <v>202</v>
      </c>
      <c r="I204" s="6" t="s">
        <v>198</v>
      </c>
    </row>
    <row r="205" customFormat="false" ht="15" hidden="false" customHeight="false" outlineLevel="0" collapsed="false">
      <c r="A205" s="6" t="s">
        <v>417</v>
      </c>
      <c r="B205" s="6" t="s">
        <v>194</v>
      </c>
      <c r="C205" s="9" t="str">
        <f aca="false">'Item Catalog'!$B$49</f>
        <v>ITM-047 · SMALL CAP REPLACEMENT - 5 GAL SLIM</v>
      </c>
      <c r="D205" s="6" t="s">
        <v>200</v>
      </c>
      <c r="E205" s="6" t="n">
        <v>45</v>
      </c>
      <c r="F205" s="9" t="s">
        <v>214</v>
      </c>
      <c r="G205" s="6" t="s">
        <v>196</v>
      </c>
      <c r="H205" s="6" t="s">
        <v>202</v>
      </c>
      <c r="I205" s="6" t="s">
        <v>198</v>
      </c>
    </row>
    <row r="206" customFormat="false" ht="15" hidden="false" customHeight="false" outlineLevel="0" collapsed="false">
      <c r="A206" s="6" t="s">
        <v>418</v>
      </c>
      <c r="B206" s="6" t="s">
        <v>194</v>
      </c>
      <c r="C206" s="9" t="str">
        <f aca="false">'Item Catalog'!$B$49</f>
        <v>ITM-047 · SMALL CAP REPLACEMENT - 5 GAL SLIM</v>
      </c>
      <c r="D206" s="6" t="s">
        <v>200</v>
      </c>
      <c r="E206" s="6" t="n">
        <v>3</v>
      </c>
      <c r="F206" s="9" t="s">
        <v>220</v>
      </c>
      <c r="G206" s="6" t="s">
        <v>196</v>
      </c>
      <c r="H206" s="6" t="s">
        <v>202</v>
      </c>
      <c r="I206" s="6" t="s">
        <v>198</v>
      </c>
    </row>
    <row r="207" customFormat="false" ht="15" hidden="false" customHeight="false" outlineLevel="0" collapsed="false">
      <c r="A207" s="6" t="s">
        <v>419</v>
      </c>
      <c r="B207" s="6" t="s">
        <v>194</v>
      </c>
      <c r="C207" s="9" t="str">
        <f aca="false">'Item Catalog'!$B$50</f>
        <v>ITM-048 · FAUCET REPLACEMENT - 5 GAL SLIM</v>
      </c>
      <c r="D207" s="6" t="s">
        <v>195</v>
      </c>
      <c r="E207" s="6" t="n">
        <v>500</v>
      </c>
      <c r="F207" s="9"/>
      <c r="G207" s="6" t="s">
        <v>196</v>
      </c>
      <c r="H207" s="6" t="s">
        <v>197</v>
      </c>
      <c r="I207" s="6" t="s">
        <v>198</v>
      </c>
    </row>
    <row r="208" customFormat="false" ht="15" hidden="false" customHeight="false" outlineLevel="0" collapsed="false">
      <c r="A208" s="6" t="s">
        <v>420</v>
      </c>
      <c r="B208" s="6" t="s">
        <v>194</v>
      </c>
      <c r="C208" s="9" t="str">
        <f aca="false">'Item Catalog'!$B$50</f>
        <v>ITM-048 · FAUCET REPLACEMENT - 5 GAL SLIM</v>
      </c>
      <c r="D208" s="6" t="s">
        <v>200</v>
      </c>
      <c r="E208" s="6" t="n">
        <v>1</v>
      </c>
      <c r="F208" s="9" t="s">
        <v>201</v>
      </c>
      <c r="G208" s="6" t="s">
        <v>196</v>
      </c>
      <c r="H208" s="6" t="s">
        <v>202</v>
      </c>
      <c r="I208" s="6" t="s">
        <v>198</v>
      </c>
    </row>
    <row r="209" customFormat="false" ht="15" hidden="false" customHeight="false" outlineLevel="0" collapsed="false">
      <c r="A209" s="6" t="s">
        <v>421</v>
      </c>
      <c r="B209" s="6" t="s">
        <v>194</v>
      </c>
      <c r="C209" s="9" t="str">
        <f aca="false">'Item Catalog'!$B$50</f>
        <v>ITM-048 · FAUCET REPLACEMENT - 5 GAL SLIM</v>
      </c>
      <c r="D209" s="6" t="s">
        <v>200</v>
      </c>
      <c r="E209" s="6" t="n">
        <v>1</v>
      </c>
      <c r="F209" s="9" t="s">
        <v>220</v>
      </c>
      <c r="G209" s="6" t="s">
        <v>196</v>
      </c>
      <c r="H209" s="6" t="s">
        <v>202</v>
      </c>
      <c r="I209" s="6" t="s">
        <v>198</v>
      </c>
    </row>
    <row r="210" customFormat="false" ht="15" hidden="false" customHeight="false" outlineLevel="0" collapsed="false">
      <c r="A210" s="6" t="s">
        <v>422</v>
      </c>
      <c r="B210" s="6" t="s">
        <v>194</v>
      </c>
      <c r="C210" s="9" t="str">
        <f aca="false">'Item Catalog'!$B$51</f>
        <v>ITM-049 · WHITE CAP REPLACEMENT - 5 GAL SLIM</v>
      </c>
      <c r="D210" s="6" t="s">
        <v>195</v>
      </c>
      <c r="E210" s="6" t="n">
        <v>500</v>
      </c>
      <c r="F210" s="9"/>
      <c r="G210" s="6" t="s">
        <v>196</v>
      </c>
      <c r="H210" s="6" t="s">
        <v>197</v>
      </c>
      <c r="I210" s="6" t="s">
        <v>198</v>
      </c>
    </row>
    <row r="211" customFormat="false" ht="15" hidden="false" customHeight="false" outlineLevel="0" collapsed="false">
      <c r="A211" s="6" t="s">
        <v>423</v>
      </c>
      <c r="B211" s="6" t="s">
        <v>194</v>
      </c>
      <c r="C211" s="9" t="str">
        <f aca="false">'Item Catalog'!$B$51</f>
        <v>ITM-049 · WHITE CAP REPLACEMENT - 5 GAL SLIM</v>
      </c>
      <c r="D211" s="6" t="s">
        <v>200</v>
      </c>
      <c r="E211" s="6" t="n">
        <v>100</v>
      </c>
      <c r="F211" s="9" t="s">
        <v>263</v>
      </c>
      <c r="G211" s="6" t="s">
        <v>196</v>
      </c>
      <c r="H211" s="6" t="s">
        <v>202</v>
      </c>
      <c r="I211" s="6" t="s">
        <v>198</v>
      </c>
    </row>
    <row r="212" customFormat="false" ht="15" hidden="false" customHeight="false" outlineLevel="0" collapsed="false">
      <c r="A212" s="6" t="s">
        <v>424</v>
      </c>
      <c r="B212" s="6" t="s">
        <v>194</v>
      </c>
      <c r="C212" s="9" t="str">
        <f aca="false">'Item Catalog'!$B$52</f>
        <v>ITM-050 · CAP NON SPILL T-BACK - 5 GAL PET ROUND</v>
      </c>
      <c r="D212" s="6" t="s">
        <v>195</v>
      </c>
      <c r="E212" s="6" t="n">
        <v>500</v>
      </c>
      <c r="F212" s="9"/>
      <c r="G212" s="6" t="s">
        <v>196</v>
      </c>
      <c r="H212" s="6" t="s">
        <v>197</v>
      </c>
      <c r="I212" s="6" t="s">
        <v>198</v>
      </c>
    </row>
    <row r="213" customFormat="false" ht="15" hidden="false" customHeight="false" outlineLevel="0" collapsed="false">
      <c r="A213" s="6" t="s">
        <v>425</v>
      </c>
      <c r="B213" s="6" t="s">
        <v>194</v>
      </c>
      <c r="C213" s="9" t="str">
        <f aca="false">'Item Catalog'!$B$52</f>
        <v>ITM-050 · CAP NON SPILL T-BACK - 5 GAL PET ROUND</v>
      </c>
      <c r="D213" s="6" t="s">
        <v>200</v>
      </c>
      <c r="E213" s="6" t="n">
        <v>11</v>
      </c>
      <c r="F213" s="9" t="s">
        <v>201</v>
      </c>
      <c r="G213" s="6" t="s">
        <v>196</v>
      </c>
      <c r="H213" s="6" t="s">
        <v>202</v>
      </c>
      <c r="I213" s="6" t="s">
        <v>198</v>
      </c>
    </row>
    <row r="214" customFormat="false" ht="15" hidden="false" customHeight="false" outlineLevel="0" collapsed="false">
      <c r="A214" s="6" t="s">
        <v>426</v>
      </c>
      <c r="B214" s="6" t="s">
        <v>194</v>
      </c>
      <c r="C214" s="9" t="str">
        <f aca="false">'Item Catalog'!$B$52</f>
        <v>ITM-050 · CAP NON SPILL T-BACK - 5 GAL PET ROUND</v>
      </c>
      <c r="D214" s="6" t="s">
        <v>200</v>
      </c>
      <c r="E214" s="6" t="n">
        <v>6</v>
      </c>
      <c r="F214" s="9" t="s">
        <v>204</v>
      </c>
      <c r="G214" s="6" t="s">
        <v>196</v>
      </c>
      <c r="H214" s="6" t="s">
        <v>202</v>
      </c>
      <c r="I214" s="6" t="s">
        <v>198</v>
      </c>
    </row>
    <row r="215" customFormat="false" ht="15" hidden="false" customHeight="false" outlineLevel="0" collapsed="false">
      <c r="A215" s="6" t="s">
        <v>427</v>
      </c>
      <c r="B215" s="6" t="s">
        <v>194</v>
      </c>
      <c r="C215" s="9" t="str">
        <f aca="false">'Item Catalog'!$B$52</f>
        <v>ITM-050 · CAP NON SPILL T-BACK - 5 GAL PET ROUND</v>
      </c>
      <c r="D215" s="6" t="s">
        <v>200</v>
      </c>
      <c r="E215" s="6" t="n">
        <v>15</v>
      </c>
      <c r="F215" s="9" t="s">
        <v>206</v>
      </c>
      <c r="G215" s="6" t="s">
        <v>196</v>
      </c>
      <c r="H215" s="6" t="s">
        <v>202</v>
      </c>
      <c r="I215" s="6" t="s">
        <v>198</v>
      </c>
    </row>
    <row r="216" customFormat="false" ht="15" hidden="false" customHeight="false" outlineLevel="0" collapsed="false">
      <c r="A216" s="6" t="s">
        <v>428</v>
      </c>
      <c r="B216" s="6" t="s">
        <v>194</v>
      </c>
      <c r="C216" s="9" t="str">
        <f aca="false">'Item Catalog'!$B$53</f>
        <v>ITM-051 · HOT AND COLD LIVINGWATER</v>
      </c>
      <c r="D216" s="6" t="s">
        <v>195</v>
      </c>
      <c r="E216" s="6" t="n">
        <v>2</v>
      </c>
      <c r="F216" s="9"/>
      <c r="G216" s="6" t="s">
        <v>196</v>
      </c>
      <c r="H216" s="6" t="s">
        <v>197</v>
      </c>
      <c r="I216" s="6" t="s">
        <v>198</v>
      </c>
    </row>
    <row r="217" customFormat="false" ht="15" hidden="false" customHeight="false" outlineLevel="0" collapsed="false">
      <c r="A217" s="6"/>
      <c r="B217" s="6"/>
      <c r="C217" s="9"/>
      <c r="D217" s="6"/>
      <c r="E217" s="6"/>
      <c r="F217" s="9"/>
      <c r="G217" s="6"/>
      <c r="H217" s="6"/>
      <c r="I217" s="6"/>
    </row>
  </sheetData>
  <mergeCells count="1">
    <mergeCell ref="A1:I1"/>
  </mergeCells>
  <dataValidations count="4">
    <dataValidation allowBlank="true" errorStyle="stop" operator="between" showDropDown="false" showErrorMessage="false" showInputMessage="false" sqref="C3:C716" type="list">
      <formula1>'Item Catalog'!$B$3:$B$53</formula1>
      <formula2>0</formula2>
    </dataValidation>
    <dataValidation allowBlank="true" errorStyle="stop" operator="between" showDropDown="false" showErrorMessage="false" showInputMessage="false" sqref="D3:D716" type="list">
      <formula1>"In,Out"</formula1>
      <formula2>0</formula2>
    </dataValidation>
    <dataValidation allowBlank="true" errorStyle="stop" operator="between" showDropDown="false" showErrorMessage="false" showInputMessage="false" sqref="F3:F716" type="list">
      <formula1>Buyers!$A$3:$A$18</formula1>
      <formula2>0</formula2>
    </dataValidation>
    <dataValidation allowBlank="true" errorStyle="stop" operator="between" showDropDown="false" showErrorMessage="false" showInputMessage="false" sqref="G3:G716" type="list">
      <formula1>"Sales Entry,Wholesale Dispatch,Restock,Historical Import"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19" min="3" style="0" width="11"/>
    <col collapsed="false" customWidth="true" hidden="false" outlineLevel="0" max="20" min="20" style="0" width="13"/>
  </cols>
  <sheetData>
    <row r="1" customFormat="false" ht="25.5" hidden="false" customHeight="true" outlineLevel="0" collapsed="false">
      <c r="A1" s="1" t="s">
        <v>429</v>
      </c>
      <c r="B1" s="1"/>
      <c r="C1" s="1"/>
      <c r="D1" s="1"/>
      <c r="E1" s="1"/>
      <c r="F1" s="1"/>
      <c r="G1" s="1"/>
      <c r="H1" s="1"/>
      <c r="I1" s="1"/>
      <c r="J1" s="1"/>
      <c r="K1" s="1"/>
      <c r="L1" s="1"/>
      <c r="M1" s="1"/>
      <c r="N1" s="1"/>
      <c r="O1" s="1"/>
      <c r="P1" s="1"/>
      <c r="Q1" s="1"/>
      <c r="R1" s="1"/>
      <c r="S1" s="1"/>
      <c r="T1" s="1"/>
    </row>
    <row r="2" customFormat="false" ht="42" hidden="false" customHeight="true" outlineLevel="0" collapsed="false">
      <c r="A2" s="5" t="s">
        <v>13</v>
      </c>
      <c r="B2" s="5" t="s">
        <v>14</v>
      </c>
      <c r="C2" s="5" t="s">
        <v>201</v>
      </c>
      <c r="D2" s="5" t="s">
        <v>204</v>
      </c>
      <c r="E2" s="5" t="s">
        <v>361</v>
      </c>
      <c r="F2" s="5" t="s">
        <v>430</v>
      </c>
      <c r="G2" s="5" t="s">
        <v>206</v>
      </c>
      <c r="H2" s="5" t="s">
        <v>208</v>
      </c>
      <c r="I2" s="5" t="s">
        <v>263</v>
      </c>
      <c r="J2" s="5" t="s">
        <v>210</v>
      </c>
      <c r="K2" s="5" t="s">
        <v>212</v>
      </c>
      <c r="L2" s="5" t="s">
        <v>214</v>
      </c>
      <c r="M2" s="5" t="s">
        <v>216</v>
      </c>
      <c r="N2" s="5" t="s">
        <v>218</v>
      </c>
      <c r="O2" s="5" t="s">
        <v>273</v>
      </c>
      <c r="P2" s="5" t="s">
        <v>286</v>
      </c>
      <c r="Q2" s="5" t="s">
        <v>220</v>
      </c>
      <c r="R2" s="5" t="s">
        <v>289</v>
      </c>
      <c r="S2" s="5" t="s">
        <v>431</v>
      </c>
      <c r="T2" s="5" t="s">
        <v>432</v>
      </c>
    </row>
    <row r="3" customFormat="false" ht="15" hidden="false" customHeight="false" outlineLevel="0" collapsed="false">
      <c r="A3" s="6" t="str">
        <f aca="false">'Item Catalog'!$B$3</f>
        <v>ITM-001 · 5 GAL SLIM CONTAINER W/ CAP BLUE</v>
      </c>
      <c r="B3" s="6" t="str">
        <f aca="false">'Item Catalog'!$C$3</f>
        <v>5 GAL SLIM CONTAINER W/ CAP BLUE</v>
      </c>
      <c r="C3" s="6" t="n">
        <f aca="false">SUMIFS('Stock Movements'!$E:$E,'Stock Movements'!$C:$C,$A3,'Stock Movements'!$F:$F,C$2,'Stock Movements'!$D:$D,"Out")</f>
        <v>87</v>
      </c>
      <c r="D3" s="6" t="n">
        <f aca="false">SUMIFS('Stock Movements'!$E:$E,'Stock Movements'!$C:$C,$A3,'Stock Movements'!$F:$F,D$2,'Stock Movements'!$D:$D,"Out")</f>
        <v>55</v>
      </c>
      <c r="E3" s="6" t="n">
        <f aca="false">SUMIFS('Stock Movements'!$E:$E,'Stock Movements'!$C:$C,$A3,'Stock Movements'!$F:$F,E$2,'Stock Movements'!$D:$D,"Out")</f>
        <v>0</v>
      </c>
      <c r="F3" s="6" t="n">
        <f aca="false">SUMIFS('Stock Movements'!$E:$E,'Stock Movements'!$C:$C,$A3,'Stock Movements'!$F:$F,F$2,'Stock Movements'!$D:$D,"Out")</f>
        <v>0</v>
      </c>
      <c r="G3" s="6" t="n">
        <f aca="false">SUMIFS('Stock Movements'!$E:$E,'Stock Movements'!$C:$C,$A3,'Stock Movements'!$F:$F,G$2,'Stock Movements'!$D:$D,"Out")</f>
        <v>100</v>
      </c>
      <c r="H3" s="6" t="n">
        <f aca="false">SUMIFS('Stock Movements'!$E:$E,'Stock Movements'!$C:$C,$A3,'Stock Movements'!$F:$F,H$2,'Stock Movements'!$D:$D,"Out")</f>
        <v>60</v>
      </c>
      <c r="I3" s="6" t="n">
        <f aca="false">SUMIFS('Stock Movements'!$E:$E,'Stock Movements'!$C:$C,$A3,'Stock Movements'!$F:$F,I$2,'Stock Movements'!$D:$D,"Out")</f>
        <v>0</v>
      </c>
      <c r="J3" s="6" t="n">
        <f aca="false">SUMIFS('Stock Movements'!$E:$E,'Stock Movements'!$C:$C,$A3,'Stock Movements'!$F:$F,J$2,'Stock Movements'!$D:$D,"Out")</f>
        <v>19</v>
      </c>
      <c r="K3" s="6" t="n">
        <f aca="false">SUMIFS('Stock Movements'!$E:$E,'Stock Movements'!$C:$C,$A3,'Stock Movements'!$F:$F,K$2,'Stock Movements'!$D:$D,"Out")</f>
        <v>58</v>
      </c>
      <c r="L3" s="6" t="n">
        <f aca="false">SUMIFS('Stock Movements'!$E:$E,'Stock Movements'!$C:$C,$A3,'Stock Movements'!$F:$F,L$2,'Stock Movements'!$D:$D,"Out")</f>
        <v>59</v>
      </c>
      <c r="M3" s="6" t="n">
        <f aca="false">SUMIFS('Stock Movements'!$E:$E,'Stock Movements'!$C:$C,$A3,'Stock Movements'!$F:$F,M$2,'Stock Movements'!$D:$D,"Out")</f>
        <v>28</v>
      </c>
      <c r="N3" s="6" t="n">
        <f aca="false">SUMIFS('Stock Movements'!$E:$E,'Stock Movements'!$C:$C,$A3,'Stock Movements'!$F:$F,N$2,'Stock Movements'!$D:$D,"Out")</f>
        <v>25</v>
      </c>
      <c r="O3" s="6" t="n">
        <f aca="false">SUMIFS('Stock Movements'!$E:$E,'Stock Movements'!$C:$C,$A3,'Stock Movements'!$F:$F,O$2,'Stock Movements'!$D:$D,"Out")</f>
        <v>0</v>
      </c>
      <c r="P3" s="6" t="n">
        <f aca="false">SUMIFS('Stock Movements'!$E:$E,'Stock Movements'!$C:$C,$A3,'Stock Movements'!$F:$F,P$2,'Stock Movements'!$D:$D,"Out")</f>
        <v>0</v>
      </c>
      <c r="Q3" s="6" t="n">
        <f aca="false">SUMIFS('Stock Movements'!$E:$E,'Stock Movements'!$C:$C,$A3,'Stock Movements'!$F:$F,Q$2,'Stock Movements'!$D:$D,"Out")</f>
        <v>35</v>
      </c>
      <c r="R3" s="6" t="n">
        <f aca="false">SUMIFS('Stock Movements'!$E:$E,'Stock Movements'!$C:$C,$A3,'Stock Movements'!$F:$F,R$2,'Stock Movements'!$D:$D,"Out")</f>
        <v>0</v>
      </c>
      <c r="S3" s="6" t="n">
        <f aca="false">SUM(C3:R3)</f>
        <v>526</v>
      </c>
      <c r="T3" s="11" t="n">
        <f aca="false">S3-'Item Catalog'!$M$3</f>
        <v>0</v>
      </c>
    </row>
    <row r="4" customFormat="false" ht="15" hidden="false" customHeight="false" outlineLevel="0" collapsed="false">
      <c r="A4" s="6" t="str">
        <f aca="false">'Item Catalog'!$B$4</f>
        <v>ITM-002 · 5 GAL SLIM CONTAINER W/ CAP BLUE-WOW</v>
      </c>
      <c r="B4" s="6" t="str">
        <f aca="false">'Item Catalog'!$C$4</f>
        <v>5 GAL SLIM CONTAINER W/ CAP BLUE-WOW</v>
      </c>
      <c r="C4" s="6" t="n">
        <f aca="false">SUMIFS('Stock Movements'!$E:$E,'Stock Movements'!$C:$C,$A4,'Stock Movements'!$F:$F,C$2,'Stock Movements'!$D:$D,"Out")</f>
        <v>18</v>
      </c>
      <c r="D4" s="6" t="n">
        <f aca="false">SUMIFS('Stock Movements'!$E:$E,'Stock Movements'!$C:$C,$A4,'Stock Movements'!$F:$F,D$2,'Stock Movements'!$D:$D,"Out")</f>
        <v>5</v>
      </c>
      <c r="E4" s="6" t="n">
        <f aca="false">SUMIFS('Stock Movements'!$E:$E,'Stock Movements'!$C:$C,$A4,'Stock Movements'!$F:$F,E$2,'Stock Movements'!$D:$D,"Out")</f>
        <v>0</v>
      </c>
      <c r="F4" s="6" t="n">
        <f aca="false">SUMIFS('Stock Movements'!$E:$E,'Stock Movements'!$C:$C,$A4,'Stock Movements'!$F:$F,F$2,'Stock Movements'!$D:$D,"Out")</f>
        <v>0</v>
      </c>
      <c r="G4" s="6" t="n">
        <f aca="false">SUMIFS('Stock Movements'!$E:$E,'Stock Movements'!$C:$C,$A4,'Stock Movements'!$F:$F,G$2,'Stock Movements'!$D:$D,"Out")</f>
        <v>0</v>
      </c>
      <c r="H4" s="6" t="n">
        <f aca="false">SUMIFS('Stock Movements'!$E:$E,'Stock Movements'!$C:$C,$A4,'Stock Movements'!$F:$F,H$2,'Stock Movements'!$D:$D,"Out")</f>
        <v>10</v>
      </c>
      <c r="I4" s="6" t="n">
        <f aca="false">SUMIFS('Stock Movements'!$E:$E,'Stock Movements'!$C:$C,$A4,'Stock Movements'!$F:$F,I$2,'Stock Movements'!$D:$D,"Out")</f>
        <v>0</v>
      </c>
      <c r="J4" s="6" t="n">
        <f aca="false">SUMIFS('Stock Movements'!$E:$E,'Stock Movements'!$C:$C,$A4,'Stock Movements'!$F:$F,J$2,'Stock Movements'!$D:$D,"Out")</f>
        <v>0</v>
      </c>
      <c r="K4" s="6" t="n">
        <f aca="false">SUMIFS('Stock Movements'!$E:$E,'Stock Movements'!$C:$C,$A4,'Stock Movements'!$F:$F,K$2,'Stock Movements'!$D:$D,"Out")</f>
        <v>0</v>
      </c>
      <c r="L4" s="6" t="n">
        <f aca="false">SUMIFS('Stock Movements'!$E:$E,'Stock Movements'!$C:$C,$A4,'Stock Movements'!$F:$F,L$2,'Stock Movements'!$D:$D,"Out")</f>
        <v>20</v>
      </c>
      <c r="M4" s="6" t="n">
        <f aca="false">SUMIFS('Stock Movements'!$E:$E,'Stock Movements'!$C:$C,$A4,'Stock Movements'!$F:$F,M$2,'Stock Movements'!$D:$D,"Out")</f>
        <v>0</v>
      </c>
      <c r="N4" s="6" t="n">
        <f aca="false">SUMIFS('Stock Movements'!$E:$E,'Stock Movements'!$C:$C,$A4,'Stock Movements'!$F:$F,N$2,'Stock Movements'!$D:$D,"Out")</f>
        <v>0</v>
      </c>
      <c r="O4" s="6" t="n">
        <f aca="false">SUMIFS('Stock Movements'!$E:$E,'Stock Movements'!$C:$C,$A4,'Stock Movements'!$F:$F,O$2,'Stock Movements'!$D:$D,"Out")</f>
        <v>0</v>
      </c>
      <c r="P4" s="6" t="n">
        <f aca="false">SUMIFS('Stock Movements'!$E:$E,'Stock Movements'!$C:$C,$A4,'Stock Movements'!$F:$F,P$2,'Stock Movements'!$D:$D,"Out")</f>
        <v>0</v>
      </c>
      <c r="Q4" s="6" t="n">
        <f aca="false">SUMIFS('Stock Movements'!$E:$E,'Stock Movements'!$C:$C,$A4,'Stock Movements'!$F:$F,Q$2,'Stock Movements'!$D:$D,"Out")</f>
        <v>0</v>
      </c>
      <c r="R4" s="6" t="n">
        <f aca="false">SUMIFS('Stock Movements'!$E:$E,'Stock Movements'!$C:$C,$A4,'Stock Movements'!$F:$F,R$2,'Stock Movements'!$D:$D,"Out")</f>
        <v>0</v>
      </c>
      <c r="S4" s="6" t="n">
        <f aca="false">SUM(C4:R4)</f>
        <v>53</v>
      </c>
      <c r="T4" s="11" t="n">
        <f aca="false">S4-'Item Catalog'!$M$4</f>
        <v>0</v>
      </c>
    </row>
    <row r="5" customFormat="false" ht="15" hidden="false" customHeight="false" outlineLevel="0" collapsed="false">
      <c r="A5" s="6" t="str">
        <f aca="false">'Item Catalog'!$B$5</f>
        <v>ITM-003 · 5 GAL SLIM CONTAINER W/ CAP GREEN</v>
      </c>
      <c r="B5" s="6" t="str">
        <f aca="false">'Item Catalog'!$C$5</f>
        <v>5 GAL SLIM CONTAINER W/ CAP GREEN</v>
      </c>
      <c r="C5" s="6" t="n">
        <f aca="false">SUMIFS('Stock Movements'!$E:$E,'Stock Movements'!$C:$C,$A5,'Stock Movements'!$F:$F,C$2,'Stock Movements'!$D:$D,"Out")</f>
        <v>81</v>
      </c>
      <c r="D5" s="6" t="n">
        <f aca="false">SUMIFS('Stock Movements'!$E:$E,'Stock Movements'!$C:$C,$A5,'Stock Movements'!$F:$F,D$2,'Stock Movements'!$D:$D,"Out")</f>
        <v>0</v>
      </c>
      <c r="E5" s="6" t="n">
        <f aca="false">SUMIFS('Stock Movements'!$E:$E,'Stock Movements'!$C:$C,$A5,'Stock Movements'!$F:$F,E$2,'Stock Movements'!$D:$D,"Out")</f>
        <v>0</v>
      </c>
      <c r="F5" s="6" t="n">
        <f aca="false">SUMIFS('Stock Movements'!$E:$E,'Stock Movements'!$C:$C,$A5,'Stock Movements'!$F:$F,F$2,'Stock Movements'!$D:$D,"Out")</f>
        <v>0</v>
      </c>
      <c r="G5" s="6" t="n">
        <f aca="false">SUMIFS('Stock Movements'!$E:$E,'Stock Movements'!$C:$C,$A5,'Stock Movements'!$F:$F,G$2,'Stock Movements'!$D:$D,"Out")</f>
        <v>0</v>
      </c>
      <c r="H5" s="6" t="n">
        <f aca="false">SUMIFS('Stock Movements'!$E:$E,'Stock Movements'!$C:$C,$A5,'Stock Movements'!$F:$F,H$2,'Stock Movements'!$D:$D,"Out")</f>
        <v>0</v>
      </c>
      <c r="I5" s="6" t="n">
        <f aca="false">SUMIFS('Stock Movements'!$E:$E,'Stock Movements'!$C:$C,$A5,'Stock Movements'!$F:$F,I$2,'Stock Movements'!$D:$D,"Out")</f>
        <v>0</v>
      </c>
      <c r="J5" s="6" t="n">
        <f aca="false">SUMIFS('Stock Movements'!$E:$E,'Stock Movements'!$C:$C,$A5,'Stock Movements'!$F:$F,J$2,'Stock Movements'!$D:$D,"Out")</f>
        <v>0</v>
      </c>
      <c r="K5" s="6" t="n">
        <f aca="false">SUMIFS('Stock Movements'!$E:$E,'Stock Movements'!$C:$C,$A5,'Stock Movements'!$F:$F,K$2,'Stock Movements'!$D:$D,"Out")</f>
        <v>0</v>
      </c>
      <c r="L5" s="6" t="n">
        <f aca="false">SUMIFS('Stock Movements'!$E:$E,'Stock Movements'!$C:$C,$A5,'Stock Movements'!$F:$F,L$2,'Stock Movements'!$D:$D,"Out")</f>
        <v>8</v>
      </c>
      <c r="M5" s="6" t="n">
        <f aca="false">SUMIFS('Stock Movements'!$E:$E,'Stock Movements'!$C:$C,$A5,'Stock Movements'!$F:$F,M$2,'Stock Movements'!$D:$D,"Out")</f>
        <v>91</v>
      </c>
      <c r="N5" s="6" t="n">
        <f aca="false">SUMIFS('Stock Movements'!$E:$E,'Stock Movements'!$C:$C,$A5,'Stock Movements'!$F:$F,N$2,'Stock Movements'!$D:$D,"Out")</f>
        <v>5</v>
      </c>
      <c r="O5" s="6" t="n">
        <f aca="false">SUMIFS('Stock Movements'!$E:$E,'Stock Movements'!$C:$C,$A5,'Stock Movements'!$F:$F,O$2,'Stock Movements'!$D:$D,"Out")</f>
        <v>0</v>
      </c>
      <c r="P5" s="6" t="n">
        <f aca="false">SUMIFS('Stock Movements'!$E:$E,'Stock Movements'!$C:$C,$A5,'Stock Movements'!$F:$F,P$2,'Stock Movements'!$D:$D,"Out")</f>
        <v>0</v>
      </c>
      <c r="Q5" s="6" t="n">
        <f aca="false">SUMIFS('Stock Movements'!$E:$E,'Stock Movements'!$C:$C,$A5,'Stock Movements'!$F:$F,Q$2,'Stock Movements'!$D:$D,"Out")</f>
        <v>35</v>
      </c>
      <c r="R5" s="6" t="n">
        <f aca="false">SUMIFS('Stock Movements'!$E:$E,'Stock Movements'!$C:$C,$A5,'Stock Movements'!$F:$F,R$2,'Stock Movements'!$D:$D,"Out")</f>
        <v>0</v>
      </c>
      <c r="S5" s="6" t="n">
        <f aca="false">SUM(C5:R5)</f>
        <v>220</v>
      </c>
      <c r="T5" s="11" t="n">
        <f aca="false">S5-'Item Catalog'!$M$5</f>
        <v>0</v>
      </c>
    </row>
    <row r="6" customFormat="false" ht="15" hidden="false" customHeight="false" outlineLevel="0" collapsed="false">
      <c r="A6" s="6" t="str">
        <f aca="false">'Item Catalog'!$B$6</f>
        <v>ITM-004 · 5 GAL SLIM CONTAINER W/ CAP YELLOW</v>
      </c>
      <c r="B6" s="6" t="str">
        <f aca="false">'Item Catalog'!$C$6</f>
        <v>5 GAL SLIM CONTAINER W/ CAP YELLOW</v>
      </c>
      <c r="C6" s="6" t="n">
        <f aca="false">SUMIFS('Stock Movements'!$E:$E,'Stock Movements'!$C:$C,$A6,'Stock Movements'!$F:$F,C$2,'Stock Movements'!$D:$D,"Out")</f>
        <v>38</v>
      </c>
      <c r="D6" s="6" t="n">
        <f aca="false">SUMIFS('Stock Movements'!$E:$E,'Stock Movements'!$C:$C,$A6,'Stock Movements'!$F:$F,D$2,'Stock Movements'!$D:$D,"Out")</f>
        <v>0</v>
      </c>
      <c r="E6" s="6" t="n">
        <f aca="false">SUMIFS('Stock Movements'!$E:$E,'Stock Movements'!$C:$C,$A6,'Stock Movements'!$F:$F,E$2,'Stock Movements'!$D:$D,"Out")</f>
        <v>0</v>
      </c>
      <c r="F6" s="6" t="n">
        <f aca="false">SUMIFS('Stock Movements'!$E:$E,'Stock Movements'!$C:$C,$A6,'Stock Movements'!$F:$F,F$2,'Stock Movements'!$D:$D,"Out")</f>
        <v>0</v>
      </c>
      <c r="G6" s="6" t="n">
        <f aca="false">SUMIFS('Stock Movements'!$E:$E,'Stock Movements'!$C:$C,$A6,'Stock Movements'!$F:$F,G$2,'Stock Movements'!$D:$D,"Out")</f>
        <v>0</v>
      </c>
      <c r="H6" s="6" t="n">
        <f aca="false">SUMIFS('Stock Movements'!$E:$E,'Stock Movements'!$C:$C,$A6,'Stock Movements'!$F:$F,H$2,'Stock Movements'!$D:$D,"Out")</f>
        <v>0</v>
      </c>
      <c r="I6" s="6" t="n">
        <f aca="false">SUMIFS('Stock Movements'!$E:$E,'Stock Movements'!$C:$C,$A6,'Stock Movements'!$F:$F,I$2,'Stock Movements'!$D:$D,"Out")</f>
        <v>0</v>
      </c>
      <c r="J6" s="6" t="n">
        <f aca="false">SUMIFS('Stock Movements'!$E:$E,'Stock Movements'!$C:$C,$A6,'Stock Movements'!$F:$F,J$2,'Stock Movements'!$D:$D,"Out")</f>
        <v>0</v>
      </c>
      <c r="K6" s="6" t="n">
        <f aca="false">SUMIFS('Stock Movements'!$E:$E,'Stock Movements'!$C:$C,$A6,'Stock Movements'!$F:$F,K$2,'Stock Movements'!$D:$D,"Out")</f>
        <v>0</v>
      </c>
      <c r="L6" s="6" t="n">
        <f aca="false">SUMIFS('Stock Movements'!$E:$E,'Stock Movements'!$C:$C,$A6,'Stock Movements'!$F:$F,L$2,'Stock Movements'!$D:$D,"Out")</f>
        <v>10</v>
      </c>
      <c r="M6" s="6" t="n">
        <f aca="false">SUMIFS('Stock Movements'!$E:$E,'Stock Movements'!$C:$C,$A6,'Stock Movements'!$F:$F,M$2,'Stock Movements'!$D:$D,"Out")</f>
        <v>0</v>
      </c>
      <c r="N6" s="6" t="n">
        <f aca="false">SUMIFS('Stock Movements'!$E:$E,'Stock Movements'!$C:$C,$A6,'Stock Movements'!$F:$F,N$2,'Stock Movements'!$D:$D,"Out")</f>
        <v>0</v>
      </c>
      <c r="O6" s="6" t="n">
        <f aca="false">SUMIFS('Stock Movements'!$E:$E,'Stock Movements'!$C:$C,$A6,'Stock Movements'!$F:$F,O$2,'Stock Movements'!$D:$D,"Out")</f>
        <v>0</v>
      </c>
      <c r="P6" s="6" t="n">
        <f aca="false">SUMIFS('Stock Movements'!$E:$E,'Stock Movements'!$C:$C,$A6,'Stock Movements'!$F:$F,P$2,'Stock Movements'!$D:$D,"Out")</f>
        <v>0</v>
      </c>
      <c r="Q6" s="6" t="n">
        <f aca="false">SUMIFS('Stock Movements'!$E:$E,'Stock Movements'!$C:$C,$A6,'Stock Movements'!$F:$F,Q$2,'Stock Movements'!$D:$D,"Out")</f>
        <v>10</v>
      </c>
      <c r="R6" s="6" t="n">
        <f aca="false">SUMIFS('Stock Movements'!$E:$E,'Stock Movements'!$C:$C,$A6,'Stock Movements'!$F:$F,R$2,'Stock Movements'!$D:$D,"Out")</f>
        <v>0</v>
      </c>
      <c r="S6" s="6" t="n">
        <f aca="false">SUM(C6:R6)</f>
        <v>58</v>
      </c>
      <c r="T6" s="11" t="n">
        <f aca="false">S6-'Item Catalog'!$M$6</f>
        <v>0</v>
      </c>
    </row>
    <row r="7" customFormat="false" ht="15" hidden="false" customHeight="false" outlineLevel="0" collapsed="false">
      <c r="A7" s="6" t="str">
        <f aca="false">'Item Catalog'!$B$7</f>
        <v>ITM-005 · 5 GAL (PET) ROUND CONTAINER BLUE W/ CAP (CLASS A)</v>
      </c>
      <c r="B7" s="6" t="str">
        <f aca="false">'Item Catalog'!$C$7</f>
        <v>5 GAL (PET) ROUND CONTAINER BLUE W/ CAP (CLASS A)</v>
      </c>
      <c r="C7" s="6" t="n">
        <f aca="false">SUMIFS('Stock Movements'!$E:$E,'Stock Movements'!$C:$C,$A7,'Stock Movements'!$F:$F,C$2,'Stock Movements'!$D:$D,"Out")</f>
        <v>35</v>
      </c>
      <c r="D7" s="6" t="n">
        <f aca="false">SUMIFS('Stock Movements'!$E:$E,'Stock Movements'!$C:$C,$A7,'Stock Movements'!$F:$F,D$2,'Stock Movements'!$D:$D,"Out")</f>
        <v>5</v>
      </c>
      <c r="E7" s="6" t="n">
        <f aca="false">SUMIFS('Stock Movements'!$E:$E,'Stock Movements'!$C:$C,$A7,'Stock Movements'!$F:$F,E$2,'Stock Movements'!$D:$D,"Out")</f>
        <v>0</v>
      </c>
      <c r="F7" s="6" t="n">
        <f aca="false">SUMIFS('Stock Movements'!$E:$E,'Stock Movements'!$C:$C,$A7,'Stock Movements'!$F:$F,F$2,'Stock Movements'!$D:$D,"Out")</f>
        <v>0</v>
      </c>
      <c r="G7" s="6" t="n">
        <f aca="false">SUMIFS('Stock Movements'!$E:$E,'Stock Movements'!$C:$C,$A7,'Stock Movements'!$F:$F,G$2,'Stock Movements'!$D:$D,"Out")</f>
        <v>15</v>
      </c>
      <c r="H7" s="6" t="n">
        <f aca="false">SUMIFS('Stock Movements'!$E:$E,'Stock Movements'!$C:$C,$A7,'Stock Movements'!$F:$F,H$2,'Stock Movements'!$D:$D,"Out")</f>
        <v>60</v>
      </c>
      <c r="I7" s="6" t="n">
        <f aca="false">SUMIFS('Stock Movements'!$E:$E,'Stock Movements'!$C:$C,$A7,'Stock Movements'!$F:$F,I$2,'Stock Movements'!$D:$D,"Out")</f>
        <v>0</v>
      </c>
      <c r="J7" s="6" t="n">
        <f aca="false">SUMIFS('Stock Movements'!$E:$E,'Stock Movements'!$C:$C,$A7,'Stock Movements'!$F:$F,J$2,'Stock Movements'!$D:$D,"Out")</f>
        <v>9</v>
      </c>
      <c r="K7" s="6" t="n">
        <f aca="false">SUMIFS('Stock Movements'!$E:$E,'Stock Movements'!$C:$C,$A7,'Stock Movements'!$F:$F,K$2,'Stock Movements'!$D:$D,"Out")</f>
        <v>6</v>
      </c>
      <c r="L7" s="6" t="n">
        <f aca="false">SUMIFS('Stock Movements'!$E:$E,'Stock Movements'!$C:$C,$A7,'Stock Movements'!$F:$F,L$2,'Stock Movements'!$D:$D,"Out")</f>
        <v>13</v>
      </c>
      <c r="M7" s="6" t="n">
        <f aca="false">SUMIFS('Stock Movements'!$E:$E,'Stock Movements'!$C:$C,$A7,'Stock Movements'!$F:$F,M$2,'Stock Movements'!$D:$D,"Out")</f>
        <v>9</v>
      </c>
      <c r="N7" s="6" t="n">
        <f aca="false">SUMIFS('Stock Movements'!$E:$E,'Stock Movements'!$C:$C,$A7,'Stock Movements'!$F:$F,N$2,'Stock Movements'!$D:$D,"Out")</f>
        <v>25</v>
      </c>
      <c r="O7" s="6" t="n">
        <f aca="false">SUMIFS('Stock Movements'!$E:$E,'Stock Movements'!$C:$C,$A7,'Stock Movements'!$F:$F,O$2,'Stock Movements'!$D:$D,"Out")</f>
        <v>0</v>
      </c>
      <c r="P7" s="6" t="n">
        <f aca="false">SUMIFS('Stock Movements'!$E:$E,'Stock Movements'!$C:$C,$A7,'Stock Movements'!$F:$F,P$2,'Stock Movements'!$D:$D,"Out")</f>
        <v>0</v>
      </c>
      <c r="Q7" s="6" t="n">
        <f aca="false">SUMIFS('Stock Movements'!$E:$E,'Stock Movements'!$C:$C,$A7,'Stock Movements'!$F:$F,Q$2,'Stock Movements'!$D:$D,"Out")</f>
        <v>22</v>
      </c>
      <c r="R7" s="6" t="n">
        <f aca="false">SUMIFS('Stock Movements'!$E:$E,'Stock Movements'!$C:$C,$A7,'Stock Movements'!$F:$F,R$2,'Stock Movements'!$D:$D,"Out")</f>
        <v>0</v>
      </c>
      <c r="S7" s="6" t="n">
        <f aca="false">SUM(C7:R7)</f>
        <v>199</v>
      </c>
      <c r="T7" s="11" t="n">
        <f aca="false">S7-'Item Catalog'!$M$7</f>
        <v>0</v>
      </c>
    </row>
    <row r="8" customFormat="false" ht="15" hidden="false" customHeight="false" outlineLevel="0" collapsed="false">
      <c r="A8" s="6" t="str">
        <f aca="false">'Item Catalog'!$B$8</f>
        <v>ITM-006 · 5 GAL (PET) ROUND CONTAINER BLUE W/ CAP (CLASS A)</v>
      </c>
      <c r="B8" s="6" t="str">
        <f aca="false">'Item Catalog'!$C$8</f>
        <v>5 GAL (PET) ROUND CONTAINER BLUE W/ CAP (CLASS A)</v>
      </c>
      <c r="C8" s="6" t="n">
        <f aca="false">SUMIFS('Stock Movements'!$E:$E,'Stock Movements'!$C:$C,$A8,'Stock Movements'!$F:$F,C$2,'Stock Movements'!$D:$D,"Out")</f>
        <v>5</v>
      </c>
      <c r="D8" s="6" t="n">
        <f aca="false">SUMIFS('Stock Movements'!$E:$E,'Stock Movements'!$C:$C,$A8,'Stock Movements'!$F:$F,D$2,'Stock Movements'!$D:$D,"Out")</f>
        <v>0</v>
      </c>
      <c r="E8" s="6" t="n">
        <f aca="false">SUMIFS('Stock Movements'!$E:$E,'Stock Movements'!$C:$C,$A8,'Stock Movements'!$F:$F,E$2,'Stock Movements'!$D:$D,"Out")</f>
        <v>0</v>
      </c>
      <c r="F8" s="6" t="n">
        <f aca="false">SUMIFS('Stock Movements'!$E:$E,'Stock Movements'!$C:$C,$A8,'Stock Movements'!$F:$F,F$2,'Stock Movements'!$D:$D,"Out")</f>
        <v>0</v>
      </c>
      <c r="G8" s="6" t="n">
        <f aca="false">SUMIFS('Stock Movements'!$E:$E,'Stock Movements'!$C:$C,$A8,'Stock Movements'!$F:$F,G$2,'Stock Movements'!$D:$D,"Out")</f>
        <v>0</v>
      </c>
      <c r="H8" s="6" t="n">
        <f aca="false">SUMIFS('Stock Movements'!$E:$E,'Stock Movements'!$C:$C,$A8,'Stock Movements'!$F:$F,H$2,'Stock Movements'!$D:$D,"Out")</f>
        <v>0</v>
      </c>
      <c r="I8" s="6" t="n">
        <f aca="false">SUMIFS('Stock Movements'!$E:$E,'Stock Movements'!$C:$C,$A8,'Stock Movements'!$F:$F,I$2,'Stock Movements'!$D:$D,"Out")</f>
        <v>0</v>
      </c>
      <c r="J8" s="6" t="n">
        <f aca="false">SUMIFS('Stock Movements'!$E:$E,'Stock Movements'!$C:$C,$A8,'Stock Movements'!$F:$F,J$2,'Stock Movements'!$D:$D,"Out")</f>
        <v>0</v>
      </c>
      <c r="K8" s="6" t="n">
        <f aca="false">SUMIFS('Stock Movements'!$E:$E,'Stock Movements'!$C:$C,$A8,'Stock Movements'!$F:$F,K$2,'Stock Movements'!$D:$D,"Out")</f>
        <v>0</v>
      </c>
      <c r="L8" s="6" t="n">
        <f aca="false">SUMIFS('Stock Movements'!$E:$E,'Stock Movements'!$C:$C,$A8,'Stock Movements'!$F:$F,L$2,'Stock Movements'!$D:$D,"Out")</f>
        <v>0</v>
      </c>
      <c r="M8" s="6" t="n">
        <f aca="false">SUMIFS('Stock Movements'!$E:$E,'Stock Movements'!$C:$C,$A8,'Stock Movements'!$F:$F,M$2,'Stock Movements'!$D:$D,"Out")</f>
        <v>1</v>
      </c>
      <c r="N8" s="6" t="n">
        <f aca="false">SUMIFS('Stock Movements'!$E:$E,'Stock Movements'!$C:$C,$A8,'Stock Movements'!$F:$F,N$2,'Stock Movements'!$D:$D,"Out")</f>
        <v>0</v>
      </c>
      <c r="O8" s="6" t="n">
        <f aca="false">SUMIFS('Stock Movements'!$E:$E,'Stock Movements'!$C:$C,$A8,'Stock Movements'!$F:$F,O$2,'Stock Movements'!$D:$D,"Out")</f>
        <v>0</v>
      </c>
      <c r="P8" s="6" t="n">
        <f aca="false">SUMIFS('Stock Movements'!$E:$E,'Stock Movements'!$C:$C,$A8,'Stock Movements'!$F:$F,P$2,'Stock Movements'!$D:$D,"Out")</f>
        <v>0</v>
      </c>
      <c r="Q8" s="6" t="n">
        <f aca="false">SUMIFS('Stock Movements'!$E:$E,'Stock Movements'!$C:$C,$A8,'Stock Movements'!$F:$F,Q$2,'Stock Movements'!$D:$D,"Out")</f>
        <v>5</v>
      </c>
      <c r="R8" s="6" t="n">
        <f aca="false">SUMIFS('Stock Movements'!$E:$E,'Stock Movements'!$C:$C,$A8,'Stock Movements'!$F:$F,R$2,'Stock Movements'!$D:$D,"Out")</f>
        <v>0</v>
      </c>
      <c r="S8" s="6" t="n">
        <f aca="false">SUM(C8:R8)</f>
        <v>11</v>
      </c>
      <c r="T8" s="11" t="n">
        <f aca="false">S8-'Item Catalog'!$M$8</f>
        <v>0</v>
      </c>
    </row>
    <row r="9" customFormat="false" ht="15" hidden="false" customHeight="false" outlineLevel="0" collapsed="false">
      <c r="A9" s="6" t="str">
        <f aca="false">'Item Catalog'!$B$9</f>
        <v>ITM-007 · BIG CAP SEAL FOR SLIM LW</v>
      </c>
      <c r="B9" s="6" t="str">
        <f aca="false">'Item Catalog'!$C$9</f>
        <v>BIG CAP SEAL FOR SLIM LW</v>
      </c>
      <c r="C9" s="6" t="n">
        <f aca="false">SUMIFS('Stock Movements'!$E:$E,'Stock Movements'!$C:$C,$A9,'Stock Movements'!$F:$F,C$2,'Stock Movements'!$D:$D,"Out")</f>
        <v>49</v>
      </c>
      <c r="D9" s="6" t="n">
        <f aca="false">SUMIFS('Stock Movements'!$E:$E,'Stock Movements'!$C:$C,$A9,'Stock Movements'!$F:$F,D$2,'Stock Movements'!$D:$D,"Out")</f>
        <v>0</v>
      </c>
      <c r="E9" s="6" t="n">
        <f aca="false">SUMIFS('Stock Movements'!$E:$E,'Stock Movements'!$C:$C,$A9,'Stock Movements'!$F:$F,E$2,'Stock Movements'!$D:$D,"Out")</f>
        <v>0</v>
      </c>
      <c r="F9" s="6" t="n">
        <f aca="false">SUMIFS('Stock Movements'!$E:$E,'Stock Movements'!$C:$C,$A9,'Stock Movements'!$F:$F,F$2,'Stock Movements'!$D:$D,"Out")</f>
        <v>0</v>
      </c>
      <c r="G9" s="6" t="n">
        <f aca="false">SUMIFS('Stock Movements'!$E:$E,'Stock Movements'!$C:$C,$A9,'Stock Movements'!$F:$F,G$2,'Stock Movements'!$D:$D,"Out")</f>
        <v>3</v>
      </c>
      <c r="H9" s="6" t="n">
        <f aca="false">SUMIFS('Stock Movements'!$E:$E,'Stock Movements'!$C:$C,$A9,'Stock Movements'!$F:$F,H$2,'Stock Movements'!$D:$D,"Out")</f>
        <v>0</v>
      </c>
      <c r="I9" s="6" t="n">
        <f aca="false">SUMIFS('Stock Movements'!$E:$E,'Stock Movements'!$C:$C,$A9,'Stock Movements'!$F:$F,I$2,'Stock Movements'!$D:$D,"Out")</f>
        <v>0</v>
      </c>
      <c r="J9" s="6" t="n">
        <f aca="false">SUMIFS('Stock Movements'!$E:$E,'Stock Movements'!$C:$C,$A9,'Stock Movements'!$F:$F,J$2,'Stock Movements'!$D:$D,"Out")</f>
        <v>3</v>
      </c>
      <c r="K9" s="6" t="n">
        <f aca="false">SUMIFS('Stock Movements'!$E:$E,'Stock Movements'!$C:$C,$A9,'Stock Movements'!$F:$F,K$2,'Stock Movements'!$D:$D,"Out")</f>
        <v>0</v>
      </c>
      <c r="L9" s="6" t="n">
        <f aca="false">SUMIFS('Stock Movements'!$E:$E,'Stock Movements'!$C:$C,$A9,'Stock Movements'!$F:$F,L$2,'Stock Movements'!$D:$D,"Out")</f>
        <v>0</v>
      </c>
      <c r="M9" s="6" t="n">
        <f aca="false">SUMIFS('Stock Movements'!$E:$E,'Stock Movements'!$C:$C,$A9,'Stock Movements'!$F:$F,M$2,'Stock Movements'!$D:$D,"Out")</f>
        <v>0</v>
      </c>
      <c r="N9" s="6" t="n">
        <f aca="false">SUMIFS('Stock Movements'!$E:$E,'Stock Movements'!$C:$C,$A9,'Stock Movements'!$F:$F,N$2,'Stock Movements'!$D:$D,"Out")</f>
        <v>0</v>
      </c>
      <c r="O9" s="6" t="n">
        <f aca="false">SUMIFS('Stock Movements'!$E:$E,'Stock Movements'!$C:$C,$A9,'Stock Movements'!$F:$F,O$2,'Stock Movements'!$D:$D,"Out")</f>
        <v>0</v>
      </c>
      <c r="P9" s="6" t="n">
        <f aca="false">SUMIFS('Stock Movements'!$E:$E,'Stock Movements'!$C:$C,$A9,'Stock Movements'!$F:$F,P$2,'Stock Movements'!$D:$D,"Out")</f>
        <v>0</v>
      </c>
      <c r="Q9" s="6" t="n">
        <f aca="false">SUMIFS('Stock Movements'!$E:$E,'Stock Movements'!$C:$C,$A9,'Stock Movements'!$F:$F,Q$2,'Stock Movements'!$D:$D,"Out")</f>
        <v>0</v>
      </c>
      <c r="R9" s="6" t="n">
        <f aca="false">SUMIFS('Stock Movements'!$E:$E,'Stock Movements'!$C:$C,$A9,'Stock Movements'!$F:$F,R$2,'Stock Movements'!$D:$D,"Out")</f>
        <v>0</v>
      </c>
      <c r="S9" s="6" t="n">
        <f aca="false">SUM(C9:R9)</f>
        <v>55</v>
      </c>
      <c r="T9" s="11" t="n">
        <f aca="false">S9-'Item Catalog'!$M$9</f>
        <v>0</v>
      </c>
    </row>
    <row r="10" customFormat="false" ht="15" hidden="false" customHeight="false" outlineLevel="0" collapsed="false">
      <c r="A10" s="6" t="str">
        <f aca="false">'Item Catalog'!$B$10</f>
        <v>ITM-008 · SMALL CAP SEAL FOR SLIM LW</v>
      </c>
      <c r="B10" s="6" t="str">
        <f aca="false">'Item Catalog'!$C$10</f>
        <v>SMALL CAP SEAL FOR SLIM LW</v>
      </c>
      <c r="C10" s="6" t="n">
        <f aca="false">SUMIFS('Stock Movements'!$E:$E,'Stock Movements'!$C:$C,$A10,'Stock Movements'!$F:$F,C$2,'Stock Movements'!$D:$D,"Out")</f>
        <v>19</v>
      </c>
      <c r="D10" s="6" t="n">
        <f aca="false">SUMIFS('Stock Movements'!$E:$E,'Stock Movements'!$C:$C,$A10,'Stock Movements'!$F:$F,D$2,'Stock Movements'!$D:$D,"Out")</f>
        <v>0</v>
      </c>
      <c r="E10" s="6" t="n">
        <f aca="false">SUMIFS('Stock Movements'!$E:$E,'Stock Movements'!$C:$C,$A10,'Stock Movements'!$F:$F,E$2,'Stock Movements'!$D:$D,"Out")</f>
        <v>0</v>
      </c>
      <c r="F10" s="6" t="n">
        <f aca="false">SUMIFS('Stock Movements'!$E:$E,'Stock Movements'!$C:$C,$A10,'Stock Movements'!$F:$F,F$2,'Stock Movements'!$D:$D,"Out")</f>
        <v>0</v>
      </c>
      <c r="G10" s="6" t="n">
        <f aca="false">SUMIFS('Stock Movements'!$E:$E,'Stock Movements'!$C:$C,$A10,'Stock Movements'!$F:$F,G$2,'Stock Movements'!$D:$D,"Out")</f>
        <v>1</v>
      </c>
      <c r="H10" s="6" t="n">
        <f aca="false">SUMIFS('Stock Movements'!$E:$E,'Stock Movements'!$C:$C,$A10,'Stock Movements'!$F:$F,H$2,'Stock Movements'!$D:$D,"Out")</f>
        <v>0</v>
      </c>
      <c r="I10" s="6" t="n">
        <f aca="false">SUMIFS('Stock Movements'!$E:$E,'Stock Movements'!$C:$C,$A10,'Stock Movements'!$F:$F,I$2,'Stock Movements'!$D:$D,"Out")</f>
        <v>0</v>
      </c>
      <c r="J10" s="6" t="n">
        <f aca="false">SUMIFS('Stock Movements'!$E:$E,'Stock Movements'!$C:$C,$A10,'Stock Movements'!$F:$F,J$2,'Stock Movements'!$D:$D,"Out")</f>
        <v>4</v>
      </c>
      <c r="K10" s="6" t="n">
        <f aca="false">SUMIFS('Stock Movements'!$E:$E,'Stock Movements'!$C:$C,$A10,'Stock Movements'!$F:$F,K$2,'Stock Movements'!$D:$D,"Out")</f>
        <v>0</v>
      </c>
      <c r="L10" s="6" t="n">
        <f aca="false">SUMIFS('Stock Movements'!$E:$E,'Stock Movements'!$C:$C,$A10,'Stock Movements'!$F:$F,L$2,'Stock Movements'!$D:$D,"Out")</f>
        <v>0</v>
      </c>
      <c r="M10" s="6" t="n">
        <f aca="false">SUMIFS('Stock Movements'!$E:$E,'Stock Movements'!$C:$C,$A10,'Stock Movements'!$F:$F,M$2,'Stock Movements'!$D:$D,"Out")</f>
        <v>0</v>
      </c>
      <c r="N10" s="6" t="n">
        <f aca="false">SUMIFS('Stock Movements'!$E:$E,'Stock Movements'!$C:$C,$A10,'Stock Movements'!$F:$F,N$2,'Stock Movements'!$D:$D,"Out")</f>
        <v>0</v>
      </c>
      <c r="O10" s="6" t="n">
        <f aca="false">SUMIFS('Stock Movements'!$E:$E,'Stock Movements'!$C:$C,$A10,'Stock Movements'!$F:$F,O$2,'Stock Movements'!$D:$D,"Out")</f>
        <v>0</v>
      </c>
      <c r="P10" s="6" t="n">
        <f aca="false">SUMIFS('Stock Movements'!$E:$E,'Stock Movements'!$C:$C,$A10,'Stock Movements'!$F:$F,P$2,'Stock Movements'!$D:$D,"Out")</f>
        <v>0</v>
      </c>
      <c r="Q10" s="6" t="n">
        <f aca="false">SUMIFS('Stock Movements'!$E:$E,'Stock Movements'!$C:$C,$A10,'Stock Movements'!$F:$F,Q$2,'Stock Movements'!$D:$D,"Out")</f>
        <v>0</v>
      </c>
      <c r="R10" s="6" t="n">
        <f aca="false">SUMIFS('Stock Movements'!$E:$E,'Stock Movements'!$C:$C,$A10,'Stock Movements'!$F:$F,R$2,'Stock Movements'!$D:$D,"Out")</f>
        <v>0</v>
      </c>
      <c r="S10" s="6" t="n">
        <f aca="false">SUM(C10:R10)</f>
        <v>24</v>
      </c>
      <c r="T10" s="11" t="n">
        <f aca="false">S10-'Item Catalog'!$M$10</f>
        <v>0</v>
      </c>
    </row>
    <row r="11" customFormat="false" ht="15" hidden="false" customHeight="false" outlineLevel="0" collapsed="false">
      <c r="A11" s="6" t="str">
        <f aca="false">'Item Catalog'!$B$11</f>
        <v>ITM-009 · FAUCET SEAL FOR SLIM LW</v>
      </c>
      <c r="B11" s="6" t="str">
        <f aca="false">'Item Catalog'!$C$11</f>
        <v>FAUCET SEAL FOR SLIM LW</v>
      </c>
      <c r="C11" s="6" t="n">
        <f aca="false">SUMIFS('Stock Movements'!$E:$E,'Stock Movements'!$C:$C,$A11,'Stock Movements'!$F:$F,C$2,'Stock Movements'!$D:$D,"Out")</f>
        <v>28</v>
      </c>
      <c r="D11" s="6" t="n">
        <f aca="false">SUMIFS('Stock Movements'!$E:$E,'Stock Movements'!$C:$C,$A11,'Stock Movements'!$F:$F,D$2,'Stock Movements'!$D:$D,"Out")</f>
        <v>0</v>
      </c>
      <c r="E11" s="6" t="n">
        <f aca="false">SUMIFS('Stock Movements'!$E:$E,'Stock Movements'!$C:$C,$A11,'Stock Movements'!$F:$F,E$2,'Stock Movements'!$D:$D,"Out")</f>
        <v>0</v>
      </c>
      <c r="F11" s="6" t="n">
        <f aca="false">SUMIFS('Stock Movements'!$E:$E,'Stock Movements'!$C:$C,$A11,'Stock Movements'!$F:$F,F$2,'Stock Movements'!$D:$D,"Out")</f>
        <v>0</v>
      </c>
      <c r="G11" s="6" t="n">
        <f aca="false">SUMIFS('Stock Movements'!$E:$E,'Stock Movements'!$C:$C,$A11,'Stock Movements'!$F:$F,G$2,'Stock Movements'!$D:$D,"Out")</f>
        <v>5</v>
      </c>
      <c r="H11" s="6" t="n">
        <f aca="false">SUMIFS('Stock Movements'!$E:$E,'Stock Movements'!$C:$C,$A11,'Stock Movements'!$F:$F,H$2,'Stock Movements'!$D:$D,"Out")</f>
        <v>0</v>
      </c>
      <c r="I11" s="6" t="n">
        <f aca="false">SUMIFS('Stock Movements'!$E:$E,'Stock Movements'!$C:$C,$A11,'Stock Movements'!$F:$F,I$2,'Stock Movements'!$D:$D,"Out")</f>
        <v>20</v>
      </c>
      <c r="J11" s="6" t="n">
        <f aca="false">SUMIFS('Stock Movements'!$E:$E,'Stock Movements'!$C:$C,$A11,'Stock Movements'!$F:$F,J$2,'Stock Movements'!$D:$D,"Out")</f>
        <v>7</v>
      </c>
      <c r="K11" s="6" t="n">
        <f aca="false">SUMIFS('Stock Movements'!$E:$E,'Stock Movements'!$C:$C,$A11,'Stock Movements'!$F:$F,K$2,'Stock Movements'!$D:$D,"Out")</f>
        <v>0</v>
      </c>
      <c r="L11" s="6" t="n">
        <f aca="false">SUMIFS('Stock Movements'!$E:$E,'Stock Movements'!$C:$C,$A11,'Stock Movements'!$F:$F,L$2,'Stock Movements'!$D:$D,"Out")</f>
        <v>0</v>
      </c>
      <c r="M11" s="6" t="n">
        <f aca="false">SUMIFS('Stock Movements'!$E:$E,'Stock Movements'!$C:$C,$A11,'Stock Movements'!$F:$F,M$2,'Stock Movements'!$D:$D,"Out")</f>
        <v>0</v>
      </c>
      <c r="N11" s="6" t="n">
        <f aca="false">SUMIFS('Stock Movements'!$E:$E,'Stock Movements'!$C:$C,$A11,'Stock Movements'!$F:$F,N$2,'Stock Movements'!$D:$D,"Out")</f>
        <v>0</v>
      </c>
      <c r="O11" s="6" t="n">
        <f aca="false">SUMIFS('Stock Movements'!$E:$E,'Stock Movements'!$C:$C,$A11,'Stock Movements'!$F:$F,O$2,'Stock Movements'!$D:$D,"Out")</f>
        <v>0</v>
      </c>
      <c r="P11" s="6" t="n">
        <f aca="false">SUMIFS('Stock Movements'!$E:$E,'Stock Movements'!$C:$C,$A11,'Stock Movements'!$F:$F,P$2,'Stock Movements'!$D:$D,"Out")</f>
        <v>0</v>
      </c>
      <c r="Q11" s="6" t="n">
        <f aca="false">SUMIFS('Stock Movements'!$E:$E,'Stock Movements'!$C:$C,$A11,'Stock Movements'!$F:$F,Q$2,'Stock Movements'!$D:$D,"Out")</f>
        <v>2</v>
      </c>
      <c r="R11" s="6" t="n">
        <f aca="false">SUMIFS('Stock Movements'!$E:$E,'Stock Movements'!$C:$C,$A11,'Stock Movements'!$F:$F,R$2,'Stock Movements'!$D:$D,"Out")</f>
        <v>0</v>
      </c>
      <c r="S11" s="6" t="n">
        <f aca="false">SUM(C11:R11)</f>
        <v>62</v>
      </c>
      <c r="T11" s="11" t="n">
        <f aca="false">S11-'Item Catalog'!$M$11</f>
        <v>0</v>
      </c>
    </row>
    <row r="12" customFormat="false" ht="15" hidden="false" customHeight="false" outlineLevel="0" collapsed="false">
      <c r="A12" s="6" t="str">
        <f aca="false">'Item Catalog'!$B$12</f>
        <v>ITM-010 · FAUCET SEAL FOR SLIM LW (CLASS B)</v>
      </c>
      <c r="B12" s="6" t="str">
        <f aca="false">'Item Catalog'!$C$12</f>
        <v>FAUCET SEAL FOR SLIM LW (CLASS B)</v>
      </c>
      <c r="C12" s="6" t="n">
        <f aca="false">SUMIFS('Stock Movements'!$E:$E,'Stock Movements'!$C:$C,$A12,'Stock Movements'!$F:$F,C$2,'Stock Movements'!$D:$D,"Out")</f>
        <v>0</v>
      </c>
      <c r="D12" s="6" t="n">
        <f aca="false">SUMIFS('Stock Movements'!$E:$E,'Stock Movements'!$C:$C,$A12,'Stock Movements'!$F:$F,D$2,'Stock Movements'!$D:$D,"Out")</f>
        <v>0</v>
      </c>
      <c r="E12" s="6" t="n">
        <f aca="false">SUMIFS('Stock Movements'!$E:$E,'Stock Movements'!$C:$C,$A12,'Stock Movements'!$F:$F,E$2,'Stock Movements'!$D:$D,"Out")</f>
        <v>0</v>
      </c>
      <c r="F12" s="6" t="n">
        <f aca="false">SUMIFS('Stock Movements'!$E:$E,'Stock Movements'!$C:$C,$A12,'Stock Movements'!$F:$F,F$2,'Stock Movements'!$D:$D,"Out")</f>
        <v>0</v>
      </c>
      <c r="G12" s="6" t="n">
        <f aca="false">SUMIFS('Stock Movements'!$E:$E,'Stock Movements'!$C:$C,$A12,'Stock Movements'!$F:$F,G$2,'Stock Movements'!$D:$D,"Out")</f>
        <v>0</v>
      </c>
      <c r="H12" s="6" t="n">
        <f aca="false">SUMIFS('Stock Movements'!$E:$E,'Stock Movements'!$C:$C,$A12,'Stock Movements'!$F:$F,H$2,'Stock Movements'!$D:$D,"Out")</f>
        <v>0</v>
      </c>
      <c r="I12" s="6" t="n">
        <f aca="false">SUMIFS('Stock Movements'!$E:$E,'Stock Movements'!$C:$C,$A12,'Stock Movements'!$F:$F,I$2,'Stock Movements'!$D:$D,"Out")</f>
        <v>0</v>
      </c>
      <c r="J12" s="6" t="n">
        <f aca="false">SUMIFS('Stock Movements'!$E:$E,'Stock Movements'!$C:$C,$A12,'Stock Movements'!$F:$F,J$2,'Stock Movements'!$D:$D,"Out")</f>
        <v>0</v>
      </c>
      <c r="K12" s="6" t="n">
        <f aca="false">SUMIFS('Stock Movements'!$E:$E,'Stock Movements'!$C:$C,$A12,'Stock Movements'!$F:$F,K$2,'Stock Movements'!$D:$D,"Out")</f>
        <v>0</v>
      </c>
      <c r="L12" s="6" t="n">
        <f aca="false">SUMIFS('Stock Movements'!$E:$E,'Stock Movements'!$C:$C,$A12,'Stock Movements'!$F:$F,L$2,'Stock Movements'!$D:$D,"Out")</f>
        <v>0</v>
      </c>
      <c r="M12" s="6" t="n">
        <f aca="false">SUMIFS('Stock Movements'!$E:$E,'Stock Movements'!$C:$C,$A12,'Stock Movements'!$F:$F,M$2,'Stock Movements'!$D:$D,"Out")</f>
        <v>0</v>
      </c>
      <c r="N12" s="6" t="n">
        <f aca="false">SUMIFS('Stock Movements'!$E:$E,'Stock Movements'!$C:$C,$A12,'Stock Movements'!$F:$F,N$2,'Stock Movements'!$D:$D,"Out")</f>
        <v>0</v>
      </c>
      <c r="O12" s="6" t="n">
        <f aca="false">SUMIFS('Stock Movements'!$E:$E,'Stock Movements'!$C:$C,$A12,'Stock Movements'!$F:$F,O$2,'Stock Movements'!$D:$D,"Out")</f>
        <v>0</v>
      </c>
      <c r="P12" s="6" t="n">
        <f aca="false">SUMIFS('Stock Movements'!$E:$E,'Stock Movements'!$C:$C,$A12,'Stock Movements'!$F:$F,P$2,'Stock Movements'!$D:$D,"Out")</f>
        <v>0</v>
      </c>
      <c r="Q12" s="6" t="n">
        <f aca="false">SUMIFS('Stock Movements'!$E:$E,'Stock Movements'!$C:$C,$A12,'Stock Movements'!$F:$F,Q$2,'Stock Movements'!$D:$D,"Out")</f>
        <v>0</v>
      </c>
      <c r="R12" s="6" t="n">
        <f aca="false">SUMIFS('Stock Movements'!$E:$E,'Stock Movements'!$C:$C,$A12,'Stock Movements'!$F:$F,R$2,'Stock Movements'!$D:$D,"Out")</f>
        <v>0</v>
      </c>
      <c r="S12" s="6" t="n">
        <f aca="false">SUM(C12:R12)</f>
        <v>0</v>
      </c>
      <c r="T12" s="11" t="n">
        <f aca="false">S12-'Item Catalog'!$M$12</f>
        <v>0</v>
      </c>
    </row>
    <row r="13" customFormat="false" ht="15" hidden="false" customHeight="false" outlineLevel="0" collapsed="false">
      <c r="A13" s="6" t="str">
        <f aca="false">'Item Catalog'!$B$13</f>
        <v>ITM-011 · UMBRELLA SEAL FOR ROUND LW</v>
      </c>
      <c r="B13" s="6" t="str">
        <f aca="false">'Item Catalog'!$C$13</f>
        <v>UMBRELLA SEAL FOR ROUND LW</v>
      </c>
      <c r="C13" s="6" t="n">
        <f aca="false">SUMIFS('Stock Movements'!$E:$E,'Stock Movements'!$C:$C,$A13,'Stock Movements'!$F:$F,C$2,'Stock Movements'!$D:$D,"Out")</f>
        <v>8</v>
      </c>
      <c r="D13" s="6" t="n">
        <f aca="false">SUMIFS('Stock Movements'!$E:$E,'Stock Movements'!$C:$C,$A13,'Stock Movements'!$F:$F,D$2,'Stock Movements'!$D:$D,"Out")</f>
        <v>0</v>
      </c>
      <c r="E13" s="6" t="n">
        <f aca="false">SUMIFS('Stock Movements'!$E:$E,'Stock Movements'!$C:$C,$A13,'Stock Movements'!$F:$F,E$2,'Stock Movements'!$D:$D,"Out")</f>
        <v>0</v>
      </c>
      <c r="F13" s="6" t="n">
        <f aca="false">SUMIFS('Stock Movements'!$E:$E,'Stock Movements'!$C:$C,$A13,'Stock Movements'!$F:$F,F$2,'Stock Movements'!$D:$D,"Out")</f>
        <v>0</v>
      </c>
      <c r="G13" s="6" t="n">
        <f aca="false">SUMIFS('Stock Movements'!$E:$E,'Stock Movements'!$C:$C,$A13,'Stock Movements'!$F:$F,G$2,'Stock Movements'!$D:$D,"Out")</f>
        <v>2</v>
      </c>
      <c r="H13" s="6" t="n">
        <f aca="false">SUMIFS('Stock Movements'!$E:$E,'Stock Movements'!$C:$C,$A13,'Stock Movements'!$F:$F,H$2,'Stock Movements'!$D:$D,"Out")</f>
        <v>0</v>
      </c>
      <c r="I13" s="6" t="n">
        <f aca="false">SUMIFS('Stock Movements'!$E:$E,'Stock Movements'!$C:$C,$A13,'Stock Movements'!$F:$F,I$2,'Stock Movements'!$D:$D,"Out")</f>
        <v>20</v>
      </c>
      <c r="J13" s="6" t="n">
        <f aca="false">SUMIFS('Stock Movements'!$E:$E,'Stock Movements'!$C:$C,$A13,'Stock Movements'!$F:$F,J$2,'Stock Movements'!$D:$D,"Out")</f>
        <v>2</v>
      </c>
      <c r="K13" s="6" t="n">
        <f aca="false">SUMIFS('Stock Movements'!$E:$E,'Stock Movements'!$C:$C,$A13,'Stock Movements'!$F:$F,K$2,'Stock Movements'!$D:$D,"Out")</f>
        <v>0</v>
      </c>
      <c r="L13" s="6" t="n">
        <f aca="false">SUMIFS('Stock Movements'!$E:$E,'Stock Movements'!$C:$C,$A13,'Stock Movements'!$F:$F,L$2,'Stock Movements'!$D:$D,"Out")</f>
        <v>0</v>
      </c>
      <c r="M13" s="6" t="n">
        <f aca="false">SUMIFS('Stock Movements'!$E:$E,'Stock Movements'!$C:$C,$A13,'Stock Movements'!$F:$F,M$2,'Stock Movements'!$D:$D,"Out")</f>
        <v>0</v>
      </c>
      <c r="N13" s="6" t="n">
        <f aca="false">SUMIFS('Stock Movements'!$E:$E,'Stock Movements'!$C:$C,$A13,'Stock Movements'!$F:$F,N$2,'Stock Movements'!$D:$D,"Out")</f>
        <v>0</v>
      </c>
      <c r="O13" s="6" t="n">
        <f aca="false">SUMIFS('Stock Movements'!$E:$E,'Stock Movements'!$C:$C,$A13,'Stock Movements'!$F:$F,O$2,'Stock Movements'!$D:$D,"Out")</f>
        <v>1</v>
      </c>
      <c r="P13" s="6" t="n">
        <f aca="false">SUMIFS('Stock Movements'!$E:$E,'Stock Movements'!$C:$C,$A13,'Stock Movements'!$F:$F,P$2,'Stock Movements'!$D:$D,"Out")</f>
        <v>0</v>
      </c>
      <c r="Q13" s="6" t="n">
        <f aca="false">SUMIFS('Stock Movements'!$E:$E,'Stock Movements'!$C:$C,$A13,'Stock Movements'!$F:$F,Q$2,'Stock Movements'!$D:$D,"Out")</f>
        <v>0</v>
      </c>
      <c r="R13" s="6" t="n">
        <f aca="false">SUMIFS('Stock Movements'!$E:$E,'Stock Movements'!$C:$C,$A13,'Stock Movements'!$F:$F,R$2,'Stock Movements'!$D:$D,"Out")</f>
        <v>0</v>
      </c>
      <c r="S13" s="6" t="n">
        <f aca="false">SUM(C13:R13)</f>
        <v>33</v>
      </c>
      <c r="T13" s="11" t="n">
        <f aca="false">S13-'Item Catalog'!$M$13</f>
        <v>0</v>
      </c>
    </row>
    <row r="14" customFormat="false" ht="15" hidden="false" customHeight="false" outlineLevel="0" collapsed="false">
      <c r="A14" s="6" t="str">
        <f aca="false">'Item Catalog'!$B$14</f>
        <v>ITM-012 · UMBRELLA SEAL FOR ROUND LW (CLASS B)</v>
      </c>
      <c r="B14" s="6" t="str">
        <f aca="false">'Item Catalog'!$C$14</f>
        <v>UMBRELLA SEAL FOR ROUND LW (CLASS B)</v>
      </c>
      <c r="C14" s="6" t="n">
        <f aca="false">SUMIFS('Stock Movements'!$E:$E,'Stock Movements'!$C:$C,$A14,'Stock Movements'!$F:$F,C$2,'Stock Movements'!$D:$D,"Out")</f>
        <v>0</v>
      </c>
      <c r="D14" s="6" t="n">
        <f aca="false">SUMIFS('Stock Movements'!$E:$E,'Stock Movements'!$C:$C,$A14,'Stock Movements'!$F:$F,D$2,'Stock Movements'!$D:$D,"Out")</f>
        <v>0</v>
      </c>
      <c r="E14" s="6" t="n">
        <f aca="false">SUMIFS('Stock Movements'!$E:$E,'Stock Movements'!$C:$C,$A14,'Stock Movements'!$F:$F,E$2,'Stock Movements'!$D:$D,"Out")</f>
        <v>0</v>
      </c>
      <c r="F14" s="6" t="n">
        <f aca="false">SUMIFS('Stock Movements'!$E:$E,'Stock Movements'!$C:$C,$A14,'Stock Movements'!$F:$F,F$2,'Stock Movements'!$D:$D,"Out")</f>
        <v>0</v>
      </c>
      <c r="G14" s="6" t="n">
        <f aca="false">SUMIFS('Stock Movements'!$E:$E,'Stock Movements'!$C:$C,$A14,'Stock Movements'!$F:$F,G$2,'Stock Movements'!$D:$D,"Out")</f>
        <v>0</v>
      </c>
      <c r="H14" s="6" t="n">
        <f aca="false">SUMIFS('Stock Movements'!$E:$E,'Stock Movements'!$C:$C,$A14,'Stock Movements'!$F:$F,H$2,'Stock Movements'!$D:$D,"Out")</f>
        <v>0</v>
      </c>
      <c r="I14" s="6" t="n">
        <f aca="false">SUMIFS('Stock Movements'!$E:$E,'Stock Movements'!$C:$C,$A14,'Stock Movements'!$F:$F,I$2,'Stock Movements'!$D:$D,"Out")</f>
        <v>0</v>
      </c>
      <c r="J14" s="6" t="n">
        <f aca="false">SUMIFS('Stock Movements'!$E:$E,'Stock Movements'!$C:$C,$A14,'Stock Movements'!$F:$F,J$2,'Stock Movements'!$D:$D,"Out")</f>
        <v>0</v>
      </c>
      <c r="K14" s="6" t="n">
        <f aca="false">SUMIFS('Stock Movements'!$E:$E,'Stock Movements'!$C:$C,$A14,'Stock Movements'!$F:$F,K$2,'Stock Movements'!$D:$D,"Out")</f>
        <v>0</v>
      </c>
      <c r="L14" s="6" t="n">
        <f aca="false">SUMIFS('Stock Movements'!$E:$E,'Stock Movements'!$C:$C,$A14,'Stock Movements'!$F:$F,L$2,'Stock Movements'!$D:$D,"Out")</f>
        <v>0</v>
      </c>
      <c r="M14" s="6" t="n">
        <f aca="false">SUMIFS('Stock Movements'!$E:$E,'Stock Movements'!$C:$C,$A14,'Stock Movements'!$F:$F,M$2,'Stock Movements'!$D:$D,"Out")</f>
        <v>0</v>
      </c>
      <c r="N14" s="6" t="n">
        <f aca="false">SUMIFS('Stock Movements'!$E:$E,'Stock Movements'!$C:$C,$A14,'Stock Movements'!$F:$F,N$2,'Stock Movements'!$D:$D,"Out")</f>
        <v>0</v>
      </c>
      <c r="O14" s="6" t="n">
        <f aca="false">SUMIFS('Stock Movements'!$E:$E,'Stock Movements'!$C:$C,$A14,'Stock Movements'!$F:$F,O$2,'Stock Movements'!$D:$D,"Out")</f>
        <v>0</v>
      </c>
      <c r="P14" s="6" t="n">
        <f aca="false">SUMIFS('Stock Movements'!$E:$E,'Stock Movements'!$C:$C,$A14,'Stock Movements'!$F:$F,P$2,'Stock Movements'!$D:$D,"Out")</f>
        <v>0</v>
      </c>
      <c r="Q14" s="6" t="n">
        <f aca="false">SUMIFS('Stock Movements'!$E:$E,'Stock Movements'!$C:$C,$A14,'Stock Movements'!$F:$F,Q$2,'Stock Movements'!$D:$D,"Out")</f>
        <v>0</v>
      </c>
      <c r="R14" s="6" t="n">
        <f aca="false">SUMIFS('Stock Movements'!$E:$E,'Stock Movements'!$C:$C,$A14,'Stock Movements'!$F:$F,R$2,'Stock Movements'!$D:$D,"Out")</f>
        <v>0</v>
      </c>
      <c r="S14" s="6" t="n">
        <f aca="false">SUM(C14:R14)</f>
        <v>0</v>
      </c>
      <c r="T14" s="11" t="n">
        <f aca="false">S14-'Item Catalog'!$M$14</f>
        <v>0</v>
      </c>
    </row>
    <row r="15" customFormat="false" ht="15" hidden="false" customHeight="false" outlineLevel="0" collapsed="false">
      <c r="A15" s="6" t="str">
        <f aca="false">'Item Catalog'!$B$15</f>
        <v>ITM-013 · BIG CAP SEAL FOR SLIM GENERIC</v>
      </c>
      <c r="B15" s="6" t="str">
        <f aca="false">'Item Catalog'!$C$15</f>
        <v>BIG CAP SEAL FOR SLIM GENERIC</v>
      </c>
      <c r="C15" s="6" t="n">
        <f aca="false">SUMIFS('Stock Movements'!$E:$E,'Stock Movements'!$C:$C,$A15,'Stock Movements'!$F:$F,C$2,'Stock Movements'!$D:$D,"Out")</f>
        <v>0</v>
      </c>
      <c r="D15" s="6" t="n">
        <f aca="false">SUMIFS('Stock Movements'!$E:$E,'Stock Movements'!$C:$C,$A15,'Stock Movements'!$F:$F,D$2,'Stock Movements'!$D:$D,"Out")</f>
        <v>5</v>
      </c>
      <c r="E15" s="6" t="n">
        <f aca="false">SUMIFS('Stock Movements'!$E:$E,'Stock Movements'!$C:$C,$A15,'Stock Movements'!$F:$F,E$2,'Stock Movements'!$D:$D,"Out")</f>
        <v>0</v>
      </c>
      <c r="F15" s="6" t="n">
        <f aca="false">SUMIFS('Stock Movements'!$E:$E,'Stock Movements'!$C:$C,$A15,'Stock Movements'!$F:$F,F$2,'Stock Movements'!$D:$D,"Out")</f>
        <v>0</v>
      </c>
      <c r="G15" s="6" t="n">
        <f aca="false">SUMIFS('Stock Movements'!$E:$E,'Stock Movements'!$C:$C,$A15,'Stock Movements'!$F:$F,G$2,'Stock Movements'!$D:$D,"Out")</f>
        <v>11</v>
      </c>
      <c r="H15" s="6" t="n">
        <f aca="false">SUMIFS('Stock Movements'!$E:$E,'Stock Movements'!$C:$C,$A15,'Stock Movements'!$F:$F,H$2,'Stock Movements'!$D:$D,"Out")</f>
        <v>3</v>
      </c>
      <c r="I15" s="6" t="n">
        <f aca="false">SUMIFS('Stock Movements'!$E:$E,'Stock Movements'!$C:$C,$A15,'Stock Movements'!$F:$F,I$2,'Stock Movements'!$D:$D,"Out")</f>
        <v>0</v>
      </c>
      <c r="J15" s="6" t="n">
        <f aca="false">SUMIFS('Stock Movements'!$E:$E,'Stock Movements'!$C:$C,$A15,'Stock Movements'!$F:$F,J$2,'Stock Movements'!$D:$D,"Out")</f>
        <v>5</v>
      </c>
      <c r="K15" s="6" t="n">
        <f aca="false">SUMIFS('Stock Movements'!$E:$E,'Stock Movements'!$C:$C,$A15,'Stock Movements'!$F:$F,K$2,'Stock Movements'!$D:$D,"Out")</f>
        <v>5</v>
      </c>
      <c r="L15" s="6" t="n">
        <f aca="false">SUMIFS('Stock Movements'!$E:$E,'Stock Movements'!$C:$C,$A15,'Stock Movements'!$F:$F,L$2,'Stock Movements'!$D:$D,"Out")</f>
        <v>14</v>
      </c>
      <c r="M15" s="6" t="n">
        <f aca="false">SUMIFS('Stock Movements'!$E:$E,'Stock Movements'!$C:$C,$A15,'Stock Movements'!$F:$F,M$2,'Stock Movements'!$D:$D,"Out")</f>
        <v>20</v>
      </c>
      <c r="N15" s="6" t="n">
        <f aca="false">SUMIFS('Stock Movements'!$E:$E,'Stock Movements'!$C:$C,$A15,'Stock Movements'!$F:$F,N$2,'Stock Movements'!$D:$D,"Out")</f>
        <v>10</v>
      </c>
      <c r="O15" s="6" t="n">
        <f aca="false">SUMIFS('Stock Movements'!$E:$E,'Stock Movements'!$C:$C,$A15,'Stock Movements'!$F:$F,O$2,'Stock Movements'!$D:$D,"Out")</f>
        <v>1</v>
      </c>
      <c r="P15" s="6" t="n">
        <f aca="false">SUMIFS('Stock Movements'!$E:$E,'Stock Movements'!$C:$C,$A15,'Stock Movements'!$F:$F,P$2,'Stock Movements'!$D:$D,"Out")</f>
        <v>2</v>
      </c>
      <c r="Q15" s="6" t="n">
        <f aca="false">SUMIFS('Stock Movements'!$E:$E,'Stock Movements'!$C:$C,$A15,'Stock Movements'!$F:$F,Q$2,'Stock Movements'!$D:$D,"Out")</f>
        <v>19</v>
      </c>
      <c r="R15" s="6" t="n">
        <f aca="false">SUMIFS('Stock Movements'!$E:$E,'Stock Movements'!$C:$C,$A15,'Stock Movements'!$F:$F,R$2,'Stock Movements'!$D:$D,"Out")</f>
        <v>5</v>
      </c>
      <c r="S15" s="6" t="n">
        <f aca="false">SUM(C15:R15)</f>
        <v>100</v>
      </c>
      <c r="T15" s="11" t="n">
        <f aca="false">S15-'Item Catalog'!$M$15</f>
        <v>0</v>
      </c>
    </row>
    <row r="16" customFormat="false" ht="15" hidden="false" customHeight="false" outlineLevel="0" collapsed="false">
      <c r="A16" s="6" t="str">
        <f aca="false">'Item Catalog'!$B$16</f>
        <v>ITM-014 · SMALL CAP SEAL FOR SLIM GENERIC</v>
      </c>
      <c r="B16" s="6" t="str">
        <f aca="false">'Item Catalog'!$C$16</f>
        <v>SMALL CAP SEAL FOR SLIM GENERIC</v>
      </c>
      <c r="C16" s="6" t="n">
        <f aca="false">SUMIFS('Stock Movements'!$E:$E,'Stock Movements'!$C:$C,$A16,'Stock Movements'!$F:$F,C$2,'Stock Movements'!$D:$D,"Out")</f>
        <v>1</v>
      </c>
      <c r="D16" s="6" t="n">
        <f aca="false">SUMIFS('Stock Movements'!$E:$E,'Stock Movements'!$C:$C,$A16,'Stock Movements'!$F:$F,D$2,'Stock Movements'!$D:$D,"Out")</f>
        <v>1</v>
      </c>
      <c r="E16" s="6" t="n">
        <f aca="false">SUMIFS('Stock Movements'!$E:$E,'Stock Movements'!$C:$C,$A16,'Stock Movements'!$F:$F,E$2,'Stock Movements'!$D:$D,"Out")</f>
        <v>0</v>
      </c>
      <c r="F16" s="6" t="n">
        <f aca="false">SUMIFS('Stock Movements'!$E:$E,'Stock Movements'!$C:$C,$A16,'Stock Movements'!$F:$F,F$2,'Stock Movements'!$D:$D,"Out")</f>
        <v>0</v>
      </c>
      <c r="G16" s="6" t="n">
        <f aca="false">SUMIFS('Stock Movements'!$E:$E,'Stock Movements'!$C:$C,$A16,'Stock Movements'!$F:$F,G$2,'Stock Movements'!$D:$D,"Out")</f>
        <v>4</v>
      </c>
      <c r="H16" s="6" t="n">
        <f aca="false">SUMIFS('Stock Movements'!$E:$E,'Stock Movements'!$C:$C,$A16,'Stock Movements'!$F:$F,H$2,'Stock Movements'!$D:$D,"Out")</f>
        <v>1</v>
      </c>
      <c r="I16" s="6" t="n">
        <f aca="false">SUMIFS('Stock Movements'!$E:$E,'Stock Movements'!$C:$C,$A16,'Stock Movements'!$F:$F,I$2,'Stock Movements'!$D:$D,"Out")</f>
        <v>0</v>
      </c>
      <c r="J16" s="6" t="n">
        <f aca="false">SUMIFS('Stock Movements'!$E:$E,'Stock Movements'!$C:$C,$A16,'Stock Movements'!$F:$F,J$2,'Stock Movements'!$D:$D,"Out")</f>
        <v>0</v>
      </c>
      <c r="K16" s="6" t="n">
        <f aca="false">SUMIFS('Stock Movements'!$E:$E,'Stock Movements'!$C:$C,$A16,'Stock Movements'!$F:$F,K$2,'Stock Movements'!$D:$D,"Out")</f>
        <v>5</v>
      </c>
      <c r="L16" s="6" t="n">
        <f aca="false">SUMIFS('Stock Movements'!$E:$E,'Stock Movements'!$C:$C,$A16,'Stock Movements'!$F:$F,L$2,'Stock Movements'!$D:$D,"Out")</f>
        <v>5</v>
      </c>
      <c r="M16" s="6" t="n">
        <f aca="false">SUMIFS('Stock Movements'!$E:$E,'Stock Movements'!$C:$C,$A16,'Stock Movements'!$F:$F,M$2,'Stock Movements'!$D:$D,"Out")</f>
        <v>5</v>
      </c>
      <c r="N16" s="6" t="n">
        <f aca="false">SUMIFS('Stock Movements'!$E:$E,'Stock Movements'!$C:$C,$A16,'Stock Movements'!$F:$F,N$2,'Stock Movements'!$D:$D,"Out")</f>
        <v>4</v>
      </c>
      <c r="O16" s="6" t="n">
        <f aca="false">SUMIFS('Stock Movements'!$E:$E,'Stock Movements'!$C:$C,$A16,'Stock Movements'!$F:$F,O$2,'Stock Movements'!$D:$D,"Out")</f>
        <v>1</v>
      </c>
      <c r="P16" s="6" t="n">
        <f aca="false">SUMIFS('Stock Movements'!$E:$E,'Stock Movements'!$C:$C,$A16,'Stock Movements'!$F:$F,P$2,'Stock Movements'!$D:$D,"Out")</f>
        <v>2</v>
      </c>
      <c r="Q16" s="6" t="n">
        <f aca="false">SUMIFS('Stock Movements'!$E:$E,'Stock Movements'!$C:$C,$A16,'Stock Movements'!$F:$F,Q$2,'Stock Movements'!$D:$D,"Out")</f>
        <v>7</v>
      </c>
      <c r="R16" s="6" t="n">
        <f aca="false">SUMIFS('Stock Movements'!$E:$E,'Stock Movements'!$C:$C,$A16,'Stock Movements'!$F:$F,R$2,'Stock Movements'!$D:$D,"Out")</f>
        <v>0</v>
      </c>
      <c r="S16" s="6" t="n">
        <f aca="false">SUM(C16:R16)</f>
        <v>36</v>
      </c>
      <c r="T16" s="11" t="n">
        <f aca="false">S16-'Item Catalog'!$M$16</f>
        <v>0</v>
      </c>
    </row>
    <row r="17" customFormat="false" ht="15" hidden="false" customHeight="false" outlineLevel="0" collapsed="false">
      <c r="A17" s="6" t="str">
        <f aca="false">'Item Catalog'!$B$17</f>
        <v>ITM-015 · FAUCET SEAL FOR SLIM GENERIC</v>
      </c>
      <c r="B17" s="6" t="str">
        <f aca="false">'Item Catalog'!$C$17</f>
        <v>FAUCET SEAL FOR SLIM GENERIC</v>
      </c>
      <c r="C17" s="6" t="n">
        <f aca="false">SUMIFS('Stock Movements'!$E:$E,'Stock Movements'!$C:$C,$A17,'Stock Movements'!$F:$F,C$2,'Stock Movements'!$D:$D,"Out")</f>
        <v>2</v>
      </c>
      <c r="D17" s="6" t="n">
        <f aca="false">SUMIFS('Stock Movements'!$E:$E,'Stock Movements'!$C:$C,$A17,'Stock Movements'!$F:$F,D$2,'Stock Movements'!$D:$D,"Out")</f>
        <v>1</v>
      </c>
      <c r="E17" s="6" t="n">
        <f aca="false">SUMIFS('Stock Movements'!$E:$E,'Stock Movements'!$C:$C,$A17,'Stock Movements'!$F:$F,E$2,'Stock Movements'!$D:$D,"Out")</f>
        <v>0</v>
      </c>
      <c r="F17" s="6" t="n">
        <f aca="false">SUMIFS('Stock Movements'!$E:$E,'Stock Movements'!$C:$C,$A17,'Stock Movements'!$F:$F,F$2,'Stock Movements'!$D:$D,"Out")</f>
        <v>0</v>
      </c>
      <c r="G17" s="6" t="n">
        <f aca="false">SUMIFS('Stock Movements'!$E:$E,'Stock Movements'!$C:$C,$A17,'Stock Movements'!$F:$F,G$2,'Stock Movements'!$D:$D,"Out")</f>
        <v>28</v>
      </c>
      <c r="H17" s="6" t="n">
        <f aca="false">SUMIFS('Stock Movements'!$E:$E,'Stock Movements'!$C:$C,$A17,'Stock Movements'!$F:$F,H$2,'Stock Movements'!$D:$D,"Out")</f>
        <v>2</v>
      </c>
      <c r="I17" s="6" t="n">
        <f aca="false">SUMIFS('Stock Movements'!$E:$E,'Stock Movements'!$C:$C,$A17,'Stock Movements'!$F:$F,I$2,'Stock Movements'!$D:$D,"Out")</f>
        <v>0</v>
      </c>
      <c r="J17" s="6" t="n">
        <f aca="false">SUMIFS('Stock Movements'!$E:$E,'Stock Movements'!$C:$C,$A17,'Stock Movements'!$F:$F,J$2,'Stock Movements'!$D:$D,"Out")</f>
        <v>0</v>
      </c>
      <c r="K17" s="6" t="n">
        <f aca="false">SUMIFS('Stock Movements'!$E:$E,'Stock Movements'!$C:$C,$A17,'Stock Movements'!$F:$F,K$2,'Stock Movements'!$D:$D,"Out")</f>
        <v>5</v>
      </c>
      <c r="L17" s="6" t="n">
        <f aca="false">SUMIFS('Stock Movements'!$E:$E,'Stock Movements'!$C:$C,$A17,'Stock Movements'!$F:$F,L$2,'Stock Movements'!$D:$D,"Out")</f>
        <v>25</v>
      </c>
      <c r="M17" s="6" t="n">
        <f aca="false">SUMIFS('Stock Movements'!$E:$E,'Stock Movements'!$C:$C,$A17,'Stock Movements'!$F:$F,M$2,'Stock Movements'!$D:$D,"Out")</f>
        <v>19</v>
      </c>
      <c r="N17" s="6" t="n">
        <f aca="false">SUMIFS('Stock Movements'!$E:$E,'Stock Movements'!$C:$C,$A17,'Stock Movements'!$F:$F,N$2,'Stock Movements'!$D:$D,"Out")</f>
        <v>3</v>
      </c>
      <c r="O17" s="6" t="n">
        <f aca="false">SUMIFS('Stock Movements'!$E:$E,'Stock Movements'!$C:$C,$A17,'Stock Movements'!$F:$F,O$2,'Stock Movements'!$D:$D,"Out")</f>
        <v>2</v>
      </c>
      <c r="P17" s="6" t="n">
        <f aca="false">SUMIFS('Stock Movements'!$E:$E,'Stock Movements'!$C:$C,$A17,'Stock Movements'!$F:$F,P$2,'Stock Movements'!$D:$D,"Out")</f>
        <v>0</v>
      </c>
      <c r="Q17" s="6" t="n">
        <f aca="false">SUMIFS('Stock Movements'!$E:$E,'Stock Movements'!$C:$C,$A17,'Stock Movements'!$F:$F,Q$2,'Stock Movements'!$D:$D,"Out")</f>
        <v>8</v>
      </c>
      <c r="R17" s="6" t="n">
        <f aca="false">SUMIFS('Stock Movements'!$E:$E,'Stock Movements'!$C:$C,$A17,'Stock Movements'!$F:$F,R$2,'Stock Movements'!$D:$D,"Out")</f>
        <v>5</v>
      </c>
      <c r="S17" s="6" t="n">
        <f aca="false">SUM(C17:R17)</f>
        <v>100</v>
      </c>
      <c r="T17" s="11" t="n">
        <f aca="false">S17-'Item Catalog'!$M$17</f>
        <v>0</v>
      </c>
    </row>
    <row r="18" customFormat="false" ht="15" hidden="false" customHeight="false" outlineLevel="0" collapsed="false">
      <c r="A18" s="6" t="str">
        <f aca="false">'Item Catalog'!$B$18</f>
        <v>ITM-016 · FAUCET SEAL FOR SLIM GENERIC</v>
      </c>
      <c r="B18" s="6" t="str">
        <f aca="false">'Item Catalog'!$C$18</f>
        <v>FAUCET SEAL FOR SLIM GENERIC</v>
      </c>
      <c r="C18" s="6" t="n">
        <f aca="false">SUMIFS('Stock Movements'!$E:$E,'Stock Movements'!$C:$C,$A18,'Stock Movements'!$F:$F,C$2,'Stock Movements'!$D:$D,"Out")</f>
        <v>0</v>
      </c>
      <c r="D18" s="6" t="n">
        <f aca="false">SUMIFS('Stock Movements'!$E:$E,'Stock Movements'!$C:$C,$A18,'Stock Movements'!$F:$F,D$2,'Stock Movements'!$D:$D,"Out")</f>
        <v>0</v>
      </c>
      <c r="E18" s="6" t="n">
        <f aca="false">SUMIFS('Stock Movements'!$E:$E,'Stock Movements'!$C:$C,$A18,'Stock Movements'!$F:$F,E$2,'Stock Movements'!$D:$D,"Out")</f>
        <v>0</v>
      </c>
      <c r="F18" s="6" t="n">
        <f aca="false">SUMIFS('Stock Movements'!$E:$E,'Stock Movements'!$C:$C,$A18,'Stock Movements'!$F:$F,F$2,'Stock Movements'!$D:$D,"Out")</f>
        <v>0</v>
      </c>
      <c r="G18" s="6" t="n">
        <f aca="false">SUMIFS('Stock Movements'!$E:$E,'Stock Movements'!$C:$C,$A18,'Stock Movements'!$F:$F,G$2,'Stock Movements'!$D:$D,"Out")</f>
        <v>0</v>
      </c>
      <c r="H18" s="6" t="n">
        <f aca="false">SUMIFS('Stock Movements'!$E:$E,'Stock Movements'!$C:$C,$A18,'Stock Movements'!$F:$F,H$2,'Stock Movements'!$D:$D,"Out")</f>
        <v>0</v>
      </c>
      <c r="I18" s="6" t="n">
        <f aca="false">SUMIFS('Stock Movements'!$E:$E,'Stock Movements'!$C:$C,$A18,'Stock Movements'!$F:$F,I$2,'Stock Movements'!$D:$D,"Out")</f>
        <v>0</v>
      </c>
      <c r="J18" s="6" t="n">
        <f aca="false">SUMIFS('Stock Movements'!$E:$E,'Stock Movements'!$C:$C,$A18,'Stock Movements'!$F:$F,J$2,'Stock Movements'!$D:$D,"Out")</f>
        <v>0</v>
      </c>
      <c r="K18" s="6" t="n">
        <f aca="false">SUMIFS('Stock Movements'!$E:$E,'Stock Movements'!$C:$C,$A18,'Stock Movements'!$F:$F,K$2,'Stock Movements'!$D:$D,"Out")</f>
        <v>0</v>
      </c>
      <c r="L18" s="6" t="n">
        <f aca="false">SUMIFS('Stock Movements'!$E:$E,'Stock Movements'!$C:$C,$A18,'Stock Movements'!$F:$F,L$2,'Stock Movements'!$D:$D,"Out")</f>
        <v>5</v>
      </c>
      <c r="M18" s="6" t="n">
        <f aca="false">SUMIFS('Stock Movements'!$E:$E,'Stock Movements'!$C:$C,$A18,'Stock Movements'!$F:$F,M$2,'Stock Movements'!$D:$D,"Out")</f>
        <v>1</v>
      </c>
      <c r="N18" s="6" t="n">
        <f aca="false">SUMIFS('Stock Movements'!$E:$E,'Stock Movements'!$C:$C,$A18,'Stock Movements'!$F:$F,N$2,'Stock Movements'!$D:$D,"Out")</f>
        <v>0</v>
      </c>
      <c r="O18" s="6" t="n">
        <f aca="false">SUMIFS('Stock Movements'!$E:$E,'Stock Movements'!$C:$C,$A18,'Stock Movements'!$F:$F,O$2,'Stock Movements'!$D:$D,"Out")</f>
        <v>0</v>
      </c>
      <c r="P18" s="6" t="n">
        <f aca="false">SUMIFS('Stock Movements'!$E:$E,'Stock Movements'!$C:$C,$A18,'Stock Movements'!$F:$F,P$2,'Stock Movements'!$D:$D,"Out")</f>
        <v>0</v>
      </c>
      <c r="Q18" s="6" t="n">
        <f aca="false">SUMIFS('Stock Movements'!$E:$E,'Stock Movements'!$C:$C,$A18,'Stock Movements'!$F:$F,Q$2,'Stock Movements'!$D:$D,"Out")</f>
        <v>5</v>
      </c>
      <c r="R18" s="6" t="n">
        <f aca="false">SUMIFS('Stock Movements'!$E:$E,'Stock Movements'!$C:$C,$A18,'Stock Movements'!$F:$F,R$2,'Stock Movements'!$D:$D,"Out")</f>
        <v>0</v>
      </c>
      <c r="S18" s="6" t="n">
        <f aca="false">SUM(C18:R18)</f>
        <v>11</v>
      </c>
      <c r="T18" s="11" t="n">
        <f aca="false">S18-'Item Catalog'!$M$18</f>
        <v>0</v>
      </c>
    </row>
    <row r="19" customFormat="false" ht="15" hidden="false" customHeight="false" outlineLevel="0" collapsed="false">
      <c r="A19" s="6" t="str">
        <f aca="false">'Item Catalog'!$B$19</f>
        <v>ITM-017 · UMBRELLA SEAL FOR ROUND GENERIC</v>
      </c>
      <c r="B19" s="6" t="str">
        <f aca="false">'Item Catalog'!$C$19</f>
        <v>UMBRELLA SEAL FOR ROUND GENERIC</v>
      </c>
      <c r="C19" s="6" t="n">
        <f aca="false">SUMIFS('Stock Movements'!$E:$E,'Stock Movements'!$C:$C,$A19,'Stock Movements'!$F:$F,C$2,'Stock Movements'!$D:$D,"Out")</f>
        <v>0</v>
      </c>
      <c r="D19" s="6" t="n">
        <f aca="false">SUMIFS('Stock Movements'!$E:$E,'Stock Movements'!$C:$C,$A19,'Stock Movements'!$F:$F,D$2,'Stock Movements'!$D:$D,"Out")</f>
        <v>4</v>
      </c>
      <c r="E19" s="6" t="n">
        <f aca="false">SUMIFS('Stock Movements'!$E:$E,'Stock Movements'!$C:$C,$A19,'Stock Movements'!$F:$F,E$2,'Stock Movements'!$D:$D,"Out")</f>
        <v>0</v>
      </c>
      <c r="F19" s="6" t="n">
        <f aca="false">SUMIFS('Stock Movements'!$E:$E,'Stock Movements'!$C:$C,$A19,'Stock Movements'!$F:$F,F$2,'Stock Movements'!$D:$D,"Out")</f>
        <v>0</v>
      </c>
      <c r="G19" s="6" t="n">
        <f aca="false">SUMIFS('Stock Movements'!$E:$E,'Stock Movements'!$C:$C,$A19,'Stock Movements'!$F:$F,G$2,'Stock Movements'!$D:$D,"Out")</f>
        <v>3</v>
      </c>
      <c r="H19" s="6" t="n">
        <f aca="false">SUMIFS('Stock Movements'!$E:$E,'Stock Movements'!$C:$C,$A19,'Stock Movements'!$F:$F,H$2,'Stock Movements'!$D:$D,"Out")</f>
        <v>3</v>
      </c>
      <c r="I19" s="6" t="n">
        <f aca="false">SUMIFS('Stock Movements'!$E:$E,'Stock Movements'!$C:$C,$A19,'Stock Movements'!$F:$F,I$2,'Stock Movements'!$D:$D,"Out")</f>
        <v>0</v>
      </c>
      <c r="J19" s="6" t="n">
        <f aca="false">SUMIFS('Stock Movements'!$E:$E,'Stock Movements'!$C:$C,$A19,'Stock Movements'!$F:$F,J$2,'Stock Movements'!$D:$D,"Out")</f>
        <v>0</v>
      </c>
      <c r="K19" s="6" t="n">
        <f aca="false">SUMIFS('Stock Movements'!$E:$E,'Stock Movements'!$C:$C,$A19,'Stock Movements'!$F:$F,K$2,'Stock Movements'!$D:$D,"Out")</f>
        <v>3</v>
      </c>
      <c r="L19" s="6" t="n">
        <f aca="false">SUMIFS('Stock Movements'!$E:$E,'Stock Movements'!$C:$C,$A19,'Stock Movements'!$F:$F,L$2,'Stock Movements'!$D:$D,"Out")</f>
        <v>8</v>
      </c>
      <c r="M19" s="6" t="n">
        <f aca="false">SUMIFS('Stock Movements'!$E:$E,'Stock Movements'!$C:$C,$A19,'Stock Movements'!$F:$F,M$2,'Stock Movements'!$D:$D,"Out")</f>
        <v>29</v>
      </c>
      <c r="N19" s="6" t="n">
        <f aca="false">SUMIFS('Stock Movements'!$E:$E,'Stock Movements'!$C:$C,$A19,'Stock Movements'!$F:$F,N$2,'Stock Movements'!$D:$D,"Out")</f>
        <v>1</v>
      </c>
      <c r="O19" s="6" t="n">
        <f aca="false">SUMIFS('Stock Movements'!$E:$E,'Stock Movements'!$C:$C,$A19,'Stock Movements'!$F:$F,O$2,'Stock Movements'!$D:$D,"Out")</f>
        <v>0</v>
      </c>
      <c r="P19" s="6" t="n">
        <f aca="false">SUMIFS('Stock Movements'!$E:$E,'Stock Movements'!$C:$C,$A19,'Stock Movements'!$F:$F,P$2,'Stock Movements'!$D:$D,"Out")</f>
        <v>10</v>
      </c>
      <c r="Q19" s="6" t="n">
        <f aca="false">SUMIFS('Stock Movements'!$E:$E,'Stock Movements'!$C:$C,$A19,'Stock Movements'!$F:$F,Q$2,'Stock Movements'!$D:$D,"Out")</f>
        <v>14</v>
      </c>
      <c r="R19" s="6" t="n">
        <f aca="false">SUMIFS('Stock Movements'!$E:$E,'Stock Movements'!$C:$C,$A19,'Stock Movements'!$F:$F,R$2,'Stock Movements'!$D:$D,"Out")</f>
        <v>0</v>
      </c>
      <c r="S19" s="6" t="n">
        <f aca="false">SUM(C19:R19)</f>
        <v>75</v>
      </c>
      <c r="T19" s="11" t="n">
        <f aca="false">S19-'Item Catalog'!$M$19</f>
        <v>0</v>
      </c>
    </row>
    <row r="20" customFormat="false" ht="15" hidden="false" customHeight="false" outlineLevel="0" collapsed="false">
      <c r="A20" s="6" t="str">
        <f aca="false">'Item Catalog'!$B$20</f>
        <v>ITM-018 · 1 L SOAP SANITIZER</v>
      </c>
      <c r="B20" s="6" t="str">
        <f aca="false">'Item Catalog'!$C$20</f>
        <v>1 L SOAP SANITIZER</v>
      </c>
      <c r="C20" s="6" t="n">
        <f aca="false">SUMIFS('Stock Movements'!$E:$E,'Stock Movements'!$C:$C,$A20,'Stock Movements'!$F:$F,C$2,'Stock Movements'!$D:$D,"Out")</f>
        <v>21</v>
      </c>
      <c r="D20" s="6" t="n">
        <f aca="false">SUMIFS('Stock Movements'!$E:$E,'Stock Movements'!$C:$C,$A20,'Stock Movements'!$F:$F,D$2,'Stock Movements'!$D:$D,"Out")</f>
        <v>0</v>
      </c>
      <c r="E20" s="6" t="n">
        <f aca="false">SUMIFS('Stock Movements'!$E:$E,'Stock Movements'!$C:$C,$A20,'Stock Movements'!$F:$F,E$2,'Stock Movements'!$D:$D,"Out")</f>
        <v>0</v>
      </c>
      <c r="F20" s="6" t="n">
        <f aca="false">SUMIFS('Stock Movements'!$E:$E,'Stock Movements'!$C:$C,$A20,'Stock Movements'!$F:$F,F$2,'Stock Movements'!$D:$D,"Out")</f>
        <v>0</v>
      </c>
      <c r="G20" s="6" t="n">
        <f aca="false">SUMIFS('Stock Movements'!$E:$E,'Stock Movements'!$C:$C,$A20,'Stock Movements'!$F:$F,G$2,'Stock Movements'!$D:$D,"Out")</f>
        <v>0</v>
      </c>
      <c r="H20" s="6" t="n">
        <f aca="false">SUMIFS('Stock Movements'!$E:$E,'Stock Movements'!$C:$C,$A20,'Stock Movements'!$F:$F,H$2,'Stock Movements'!$D:$D,"Out")</f>
        <v>0</v>
      </c>
      <c r="I20" s="6" t="n">
        <f aca="false">SUMIFS('Stock Movements'!$E:$E,'Stock Movements'!$C:$C,$A20,'Stock Movements'!$F:$F,I$2,'Stock Movements'!$D:$D,"Out")</f>
        <v>0</v>
      </c>
      <c r="J20" s="6" t="n">
        <f aca="false">SUMIFS('Stock Movements'!$E:$E,'Stock Movements'!$C:$C,$A20,'Stock Movements'!$F:$F,J$2,'Stock Movements'!$D:$D,"Out")</f>
        <v>3</v>
      </c>
      <c r="K20" s="6" t="n">
        <f aca="false">SUMIFS('Stock Movements'!$E:$E,'Stock Movements'!$C:$C,$A20,'Stock Movements'!$F:$F,K$2,'Stock Movements'!$D:$D,"Out")</f>
        <v>4</v>
      </c>
      <c r="L20" s="6" t="n">
        <f aca="false">SUMIFS('Stock Movements'!$E:$E,'Stock Movements'!$C:$C,$A20,'Stock Movements'!$F:$F,L$2,'Stock Movements'!$D:$D,"Out")</f>
        <v>0</v>
      </c>
      <c r="M20" s="6" t="n">
        <f aca="false">SUMIFS('Stock Movements'!$E:$E,'Stock Movements'!$C:$C,$A20,'Stock Movements'!$F:$F,M$2,'Stock Movements'!$D:$D,"Out")</f>
        <v>0</v>
      </c>
      <c r="N20" s="6" t="n">
        <f aca="false">SUMIFS('Stock Movements'!$E:$E,'Stock Movements'!$C:$C,$A20,'Stock Movements'!$F:$F,N$2,'Stock Movements'!$D:$D,"Out")</f>
        <v>0</v>
      </c>
      <c r="O20" s="6" t="n">
        <f aca="false">SUMIFS('Stock Movements'!$E:$E,'Stock Movements'!$C:$C,$A20,'Stock Movements'!$F:$F,O$2,'Stock Movements'!$D:$D,"Out")</f>
        <v>0</v>
      </c>
      <c r="P20" s="6" t="n">
        <f aca="false">SUMIFS('Stock Movements'!$E:$E,'Stock Movements'!$C:$C,$A20,'Stock Movements'!$F:$F,P$2,'Stock Movements'!$D:$D,"Out")</f>
        <v>0</v>
      </c>
      <c r="Q20" s="6" t="n">
        <f aca="false">SUMIFS('Stock Movements'!$E:$E,'Stock Movements'!$C:$C,$A20,'Stock Movements'!$F:$F,Q$2,'Stock Movements'!$D:$D,"Out")</f>
        <v>1</v>
      </c>
      <c r="R20" s="6" t="n">
        <f aca="false">SUMIFS('Stock Movements'!$E:$E,'Stock Movements'!$C:$C,$A20,'Stock Movements'!$F:$F,R$2,'Stock Movements'!$D:$D,"Out")</f>
        <v>6</v>
      </c>
      <c r="S20" s="6" t="n">
        <f aca="false">SUM(C20:R20)</f>
        <v>35</v>
      </c>
      <c r="T20" s="11" t="n">
        <f aca="false">S20-'Item Catalog'!$M$20</f>
        <v>0</v>
      </c>
    </row>
    <row r="21" customFormat="false" ht="15" hidden="false" customHeight="false" outlineLevel="0" collapsed="false">
      <c r="A21" s="6" t="str">
        <f aca="false">'Item Catalog'!$B$21</f>
        <v>ITM-019 · SOAP SANITIZER: SOAP WOW-1LITER</v>
      </c>
      <c r="B21" s="6" t="str">
        <f aca="false">'Item Catalog'!$C$21</f>
        <v>SOAP SANITIZER: SOAP WOW-1LITER</v>
      </c>
      <c r="C21" s="6" t="n">
        <f aca="false">SUMIFS('Stock Movements'!$E:$E,'Stock Movements'!$C:$C,$A21,'Stock Movements'!$F:$F,C$2,'Stock Movements'!$D:$D,"Out")</f>
        <v>0</v>
      </c>
      <c r="D21" s="6" t="n">
        <f aca="false">SUMIFS('Stock Movements'!$E:$E,'Stock Movements'!$C:$C,$A21,'Stock Movements'!$F:$F,D$2,'Stock Movements'!$D:$D,"Out")</f>
        <v>0</v>
      </c>
      <c r="E21" s="6" t="n">
        <f aca="false">SUMIFS('Stock Movements'!$E:$E,'Stock Movements'!$C:$C,$A21,'Stock Movements'!$F:$F,E$2,'Stock Movements'!$D:$D,"Out")</f>
        <v>0</v>
      </c>
      <c r="F21" s="6" t="n">
        <f aca="false">SUMIFS('Stock Movements'!$E:$E,'Stock Movements'!$C:$C,$A21,'Stock Movements'!$F:$F,F$2,'Stock Movements'!$D:$D,"Out")</f>
        <v>0</v>
      </c>
      <c r="G21" s="6" t="n">
        <f aca="false">SUMIFS('Stock Movements'!$E:$E,'Stock Movements'!$C:$C,$A21,'Stock Movements'!$F:$F,G$2,'Stock Movements'!$D:$D,"Out")</f>
        <v>0</v>
      </c>
      <c r="H21" s="6" t="n">
        <f aca="false">SUMIFS('Stock Movements'!$E:$E,'Stock Movements'!$C:$C,$A21,'Stock Movements'!$F:$F,H$2,'Stock Movements'!$D:$D,"Out")</f>
        <v>0</v>
      </c>
      <c r="I21" s="6" t="n">
        <f aca="false">SUMIFS('Stock Movements'!$E:$E,'Stock Movements'!$C:$C,$A21,'Stock Movements'!$F:$F,I$2,'Stock Movements'!$D:$D,"Out")</f>
        <v>0</v>
      </c>
      <c r="J21" s="6" t="n">
        <f aca="false">SUMIFS('Stock Movements'!$E:$E,'Stock Movements'!$C:$C,$A21,'Stock Movements'!$F:$F,J$2,'Stock Movements'!$D:$D,"Out")</f>
        <v>0</v>
      </c>
      <c r="K21" s="6" t="n">
        <f aca="false">SUMIFS('Stock Movements'!$E:$E,'Stock Movements'!$C:$C,$A21,'Stock Movements'!$F:$F,K$2,'Stock Movements'!$D:$D,"Out")</f>
        <v>0</v>
      </c>
      <c r="L21" s="6" t="n">
        <f aca="false">SUMIFS('Stock Movements'!$E:$E,'Stock Movements'!$C:$C,$A21,'Stock Movements'!$F:$F,L$2,'Stock Movements'!$D:$D,"Out")</f>
        <v>0</v>
      </c>
      <c r="M21" s="6" t="n">
        <f aca="false">SUMIFS('Stock Movements'!$E:$E,'Stock Movements'!$C:$C,$A21,'Stock Movements'!$F:$F,M$2,'Stock Movements'!$D:$D,"Out")</f>
        <v>0</v>
      </c>
      <c r="N21" s="6" t="n">
        <f aca="false">SUMIFS('Stock Movements'!$E:$E,'Stock Movements'!$C:$C,$A21,'Stock Movements'!$F:$F,N$2,'Stock Movements'!$D:$D,"Out")</f>
        <v>0</v>
      </c>
      <c r="O21" s="6" t="n">
        <f aca="false">SUMIFS('Stock Movements'!$E:$E,'Stock Movements'!$C:$C,$A21,'Stock Movements'!$F:$F,O$2,'Stock Movements'!$D:$D,"Out")</f>
        <v>0</v>
      </c>
      <c r="P21" s="6" t="n">
        <f aca="false">SUMIFS('Stock Movements'!$E:$E,'Stock Movements'!$C:$C,$A21,'Stock Movements'!$F:$F,P$2,'Stock Movements'!$D:$D,"Out")</f>
        <v>0</v>
      </c>
      <c r="Q21" s="6" t="n">
        <f aca="false">SUMIFS('Stock Movements'!$E:$E,'Stock Movements'!$C:$C,$A21,'Stock Movements'!$F:$F,Q$2,'Stock Movements'!$D:$D,"Out")</f>
        <v>0</v>
      </c>
      <c r="R21" s="6" t="n">
        <f aca="false">SUMIFS('Stock Movements'!$E:$E,'Stock Movements'!$C:$C,$A21,'Stock Movements'!$F:$F,R$2,'Stock Movements'!$D:$D,"Out")</f>
        <v>0</v>
      </c>
      <c r="S21" s="6" t="n">
        <f aca="false">SUM(C21:R21)</f>
        <v>0</v>
      </c>
      <c r="T21" s="11" t="n">
        <f aca="false">S21-'Item Catalog'!$M$21</f>
        <v>0</v>
      </c>
    </row>
    <row r="22" customFormat="false" ht="15" hidden="false" customHeight="false" outlineLevel="0" collapsed="false">
      <c r="A22" s="6" t="str">
        <f aca="false">'Item Catalog'!$B$22</f>
        <v>ITM-020 · AUSTRALIAN SALT</v>
      </c>
      <c r="B22" s="6" t="str">
        <f aca="false">'Item Catalog'!$C$22</f>
        <v>AUSTRALIAN SALT</v>
      </c>
      <c r="C22" s="6" t="n">
        <f aca="false">SUMIFS('Stock Movements'!$E:$E,'Stock Movements'!$C:$C,$A22,'Stock Movements'!$F:$F,C$2,'Stock Movements'!$D:$D,"Out")</f>
        <v>14</v>
      </c>
      <c r="D22" s="6" t="n">
        <f aca="false">SUMIFS('Stock Movements'!$E:$E,'Stock Movements'!$C:$C,$A22,'Stock Movements'!$F:$F,D$2,'Stock Movements'!$D:$D,"Out")</f>
        <v>0</v>
      </c>
      <c r="E22" s="6" t="n">
        <f aca="false">SUMIFS('Stock Movements'!$E:$E,'Stock Movements'!$C:$C,$A22,'Stock Movements'!$F:$F,E$2,'Stock Movements'!$D:$D,"Out")</f>
        <v>0</v>
      </c>
      <c r="F22" s="6" t="n">
        <f aca="false">SUMIFS('Stock Movements'!$E:$E,'Stock Movements'!$C:$C,$A22,'Stock Movements'!$F:$F,F$2,'Stock Movements'!$D:$D,"Out")</f>
        <v>0</v>
      </c>
      <c r="G22" s="6" t="n">
        <f aca="false">SUMIFS('Stock Movements'!$E:$E,'Stock Movements'!$C:$C,$A22,'Stock Movements'!$F:$F,G$2,'Stock Movements'!$D:$D,"Out")</f>
        <v>1</v>
      </c>
      <c r="H22" s="6" t="n">
        <f aca="false">SUMIFS('Stock Movements'!$E:$E,'Stock Movements'!$C:$C,$A22,'Stock Movements'!$F:$F,H$2,'Stock Movements'!$D:$D,"Out")</f>
        <v>0</v>
      </c>
      <c r="I22" s="6" t="n">
        <f aca="false">SUMIFS('Stock Movements'!$E:$E,'Stock Movements'!$C:$C,$A22,'Stock Movements'!$F:$F,I$2,'Stock Movements'!$D:$D,"Out")</f>
        <v>0</v>
      </c>
      <c r="J22" s="6" t="n">
        <f aca="false">SUMIFS('Stock Movements'!$E:$E,'Stock Movements'!$C:$C,$A22,'Stock Movements'!$F:$F,J$2,'Stock Movements'!$D:$D,"Out")</f>
        <v>0</v>
      </c>
      <c r="K22" s="6" t="n">
        <f aca="false">SUMIFS('Stock Movements'!$E:$E,'Stock Movements'!$C:$C,$A22,'Stock Movements'!$F:$F,K$2,'Stock Movements'!$D:$D,"Out")</f>
        <v>0</v>
      </c>
      <c r="L22" s="6" t="n">
        <f aca="false">SUMIFS('Stock Movements'!$E:$E,'Stock Movements'!$C:$C,$A22,'Stock Movements'!$F:$F,L$2,'Stock Movements'!$D:$D,"Out")</f>
        <v>0</v>
      </c>
      <c r="M22" s="6" t="n">
        <f aca="false">SUMIFS('Stock Movements'!$E:$E,'Stock Movements'!$C:$C,$A22,'Stock Movements'!$F:$F,M$2,'Stock Movements'!$D:$D,"Out")</f>
        <v>0</v>
      </c>
      <c r="N22" s="6" t="n">
        <f aca="false">SUMIFS('Stock Movements'!$E:$E,'Stock Movements'!$C:$C,$A22,'Stock Movements'!$F:$F,N$2,'Stock Movements'!$D:$D,"Out")</f>
        <v>0</v>
      </c>
      <c r="O22" s="6" t="n">
        <f aca="false">SUMIFS('Stock Movements'!$E:$E,'Stock Movements'!$C:$C,$A22,'Stock Movements'!$F:$F,O$2,'Stock Movements'!$D:$D,"Out")</f>
        <v>0</v>
      </c>
      <c r="P22" s="6" t="n">
        <f aca="false">SUMIFS('Stock Movements'!$E:$E,'Stock Movements'!$C:$C,$A22,'Stock Movements'!$F:$F,P$2,'Stock Movements'!$D:$D,"Out")</f>
        <v>0</v>
      </c>
      <c r="Q22" s="6" t="n">
        <f aca="false">SUMIFS('Stock Movements'!$E:$E,'Stock Movements'!$C:$C,$A22,'Stock Movements'!$F:$F,Q$2,'Stock Movements'!$D:$D,"Out")</f>
        <v>0</v>
      </c>
      <c r="R22" s="6" t="n">
        <f aca="false">SUMIFS('Stock Movements'!$E:$E,'Stock Movements'!$C:$C,$A22,'Stock Movements'!$F:$F,R$2,'Stock Movements'!$D:$D,"Out")</f>
        <v>0</v>
      </c>
      <c r="S22" s="6" t="n">
        <f aca="false">SUM(C22:R22)</f>
        <v>15</v>
      </c>
      <c r="T22" s="11" t="n">
        <f aca="false">S22-'Item Catalog'!$M$22</f>
        <v>0</v>
      </c>
    </row>
    <row r="23" customFormat="false" ht="15" hidden="false" customHeight="false" outlineLevel="0" collapsed="false">
      <c r="A23" s="6" t="str">
        <f aca="false">'Item Catalog'!$B$23</f>
        <v>ITM-021 · INDUSTRIAL SALT ART-COURSE</v>
      </c>
      <c r="B23" s="6" t="str">
        <f aca="false">'Item Catalog'!$C$23</f>
        <v>INDUSTRIAL SALT ART-COURSE</v>
      </c>
      <c r="C23" s="6" t="n">
        <f aca="false">SUMIFS('Stock Movements'!$E:$E,'Stock Movements'!$C:$C,$A23,'Stock Movements'!$F:$F,C$2,'Stock Movements'!$D:$D,"Out")</f>
        <v>32</v>
      </c>
      <c r="D23" s="6" t="n">
        <f aca="false">SUMIFS('Stock Movements'!$E:$E,'Stock Movements'!$C:$C,$A23,'Stock Movements'!$F:$F,D$2,'Stock Movements'!$D:$D,"Out")</f>
        <v>0</v>
      </c>
      <c r="E23" s="6" t="n">
        <f aca="false">SUMIFS('Stock Movements'!$E:$E,'Stock Movements'!$C:$C,$A23,'Stock Movements'!$F:$F,E$2,'Stock Movements'!$D:$D,"Out")</f>
        <v>0</v>
      </c>
      <c r="F23" s="6" t="n">
        <f aca="false">SUMIFS('Stock Movements'!$E:$E,'Stock Movements'!$C:$C,$A23,'Stock Movements'!$F:$F,F$2,'Stock Movements'!$D:$D,"Out")</f>
        <v>0</v>
      </c>
      <c r="G23" s="6" t="n">
        <f aca="false">SUMIFS('Stock Movements'!$E:$E,'Stock Movements'!$C:$C,$A23,'Stock Movements'!$F:$F,G$2,'Stock Movements'!$D:$D,"Out")</f>
        <v>0</v>
      </c>
      <c r="H23" s="6" t="n">
        <f aca="false">SUMIFS('Stock Movements'!$E:$E,'Stock Movements'!$C:$C,$A23,'Stock Movements'!$F:$F,H$2,'Stock Movements'!$D:$D,"Out")</f>
        <v>0</v>
      </c>
      <c r="I23" s="6" t="n">
        <f aca="false">SUMIFS('Stock Movements'!$E:$E,'Stock Movements'!$C:$C,$A23,'Stock Movements'!$F:$F,I$2,'Stock Movements'!$D:$D,"Out")</f>
        <v>0</v>
      </c>
      <c r="J23" s="6" t="n">
        <f aca="false">SUMIFS('Stock Movements'!$E:$E,'Stock Movements'!$C:$C,$A23,'Stock Movements'!$F:$F,J$2,'Stock Movements'!$D:$D,"Out")</f>
        <v>1</v>
      </c>
      <c r="K23" s="6" t="n">
        <f aca="false">SUMIFS('Stock Movements'!$E:$E,'Stock Movements'!$C:$C,$A23,'Stock Movements'!$F:$F,K$2,'Stock Movements'!$D:$D,"Out")</f>
        <v>0</v>
      </c>
      <c r="L23" s="6" t="n">
        <f aca="false">SUMIFS('Stock Movements'!$E:$E,'Stock Movements'!$C:$C,$A23,'Stock Movements'!$F:$F,L$2,'Stock Movements'!$D:$D,"Out")</f>
        <v>0</v>
      </c>
      <c r="M23" s="6" t="n">
        <f aca="false">SUMIFS('Stock Movements'!$E:$E,'Stock Movements'!$C:$C,$A23,'Stock Movements'!$F:$F,M$2,'Stock Movements'!$D:$D,"Out")</f>
        <v>11</v>
      </c>
      <c r="N23" s="6" t="n">
        <f aca="false">SUMIFS('Stock Movements'!$E:$E,'Stock Movements'!$C:$C,$A23,'Stock Movements'!$F:$F,N$2,'Stock Movements'!$D:$D,"Out")</f>
        <v>5</v>
      </c>
      <c r="O23" s="6" t="n">
        <f aca="false">SUMIFS('Stock Movements'!$E:$E,'Stock Movements'!$C:$C,$A23,'Stock Movements'!$F:$F,O$2,'Stock Movements'!$D:$D,"Out")</f>
        <v>2</v>
      </c>
      <c r="P23" s="6" t="n">
        <f aca="false">SUMIFS('Stock Movements'!$E:$E,'Stock Movements'!$C:$C,$A23,'Stock Movements'!$F:$F,P$2,'Stock Movements'!$D:$D,"Out")</f>
        <v>3</v>
      </c>
      <c r="Q23" s="6" t="n">
        <f aca="false">SUMIFS('Stock Movements'!$E:$E,'Stock Movements'!$C:$C,$A23,'Stock Movements'!$F:$F,Q$2,'Stock Movements'!$D:$D,"Out")</f>
        <v>3</v>
      </c>
      <c r="R23" s="6" t="n">
        <f aca="false">SUMIFS('Stock Movements'!$E:$E,'Stock Movements'!$C:$C,$A23,'Stock Movements'!$F:$F,R$2,'Stock Movements'!$D:$D,"Out")</f>
        <v>6</v>
      </c>
      <c r="S23" s="6" t="n">
        <f aca="false">SUM(C23:R23)</f>
        <v>63</v>
      </c>
      <c r="T23" s="11" t="n">
        <f aca="false">S23-'Item Catalog'!$M$23</f>
        <v>0</v>
      </c>
    </row>
    <row r="24" customFormat="false" ht="15" hidden="false" customHeight="false" outlineLevel="0" collapsed="false">
      <c r="A24" s="6" t="str">
        <f aca="false">'Item Catalog'!$B$24</f>
        <v>ITM-022 · INDUSTRIAL SALT ART-COURSE</v>
      </c>
      <c r="B24" s="6" t="str">
        <f aca="false">'Item Catalog'!$C$24</f>
        <v>INDUSTRIAL SALT ART-COURSE</v>
      </c>
      <c r="C24" s="6" t="n">
        <f aca="false">SUMIFS('Stock Movements'!$E:$E,'Stock Movements'!$C:$C,$A24,'Stock Movements'!$F:$F,C$2,'Stock Movements'!$D:$D,"Out")</f>
        <v>0</v>
      </c>
      <c r="D24" s="6" t="n">
        <f aca="false">SUMIFS('Stock Movements'!$E:$E,'Stock Movements'!$C:$C,$A24,'Stock Movements'!$F:$F,D$2,'Stock Movements'!$D:$D,"Out")</f>
        <v>0</v>
      </c>
      <c r="E24" s="6" t="n">
        <f aca="false">SUMIFS('Stock Movements'!$E:$E,'Stock Movements'!$C:$C,$A24,'Stock Movements'!$F:$F,E$2,'Stock Movements'!$D:$D,"Out")</f>
        <v>0</v>
      </c>
      <c r="F24" s="6" t="n">
        <f aca="false">SUMIFS('Stock Movements'!$E:$E,'Stock Movements'!$C:$C,$A24,'Stock Movements'!$F:$F,F$2,'Stock Movements'!$D:$D,"Out")</f>
        <v>0</v>
      </c>
      <c r="G24" s="6" t="n">
        <f aca="false">SUMIFS('Stock Movements'!$E:$E,'Stock Movements'!$C:$C,$A24,'Stock Movements'!$F:$F,G$2,'Stock Movements'!$D:$D,"Out")</f>
        <v>0</v>
      </c>
      <c r="H24" s="6" t="n">
        <f aca="false">SUMIFS('Stock Movements'!$E:$E,'Stock Movements'!$C:$C,$A24,'Stock Movements'!$F:$F,H$2,'Stock Movements'!$D:$D,"Out")</f>
        <v>0</v>
      </c>
      <c r="I24" s="6" t="n">
        <f aca="false">SUMIFS('Stock Movements'!$E:$E,'Stock Movements'!$C:$C,$A24,'Stock Movements'!$F:$F,I$2,'Stock Movements'!$D:$D,"Out")</f>
        <v>0</v>
      </c>
      <c r="J24" s="6" t="n">
        <f aca="false">SUMIFS('Stock Movements'!$E:$E,'Stock Movements'!$C:$C,$A24,'Stock Movements'!$F:$F,J$2,'Stock Movements'!$D:$D,"Out")</f>
        <v>0</v>
      </c>
      <c r="K24" s="6" t="n">
        <f aca="false">SUMIFS('Stock Movements'!$E:$E,'Stock Movements'!$C:$C,$A24,'Stock Movements'!$F:$F,K$2,'Stock Movements'!$D:$D,"Out")</f>
        <v>0</v>
      </c>
      <c r="L24" s="6" t="n">
        <f aca="false">SUMIFS('Stock Movements'!$E:$E,'Stock Movements'!$C:$C,$A24,'Stock Movements'!$F:$F,L$2,'Stock Movements'!$D:$D,"Out")</f>
        <v>0</v>
      </c>
      <c r="M24" s="6" t="n">
        <f aca="false">SUMIFS('Stock Movements'!$E:$E,'Stock Movements'!$C:$C,$A24,'Stock Movements'!$F:$F,M$2,'Stock Movements'!$D:$D,"Out")</f>
        <v>0</v>
      </c>
      <c r="N24" s="6" t="n">
        <f aca="false">SUMIFS('Stock Movements'!$E:$E,'Stock Movements'!$C:$C,$A24,'Stock Movements'!$F:$F,N$2,'Stock Movements'!$D:$D,"Out")</f>
        <v>0</v>
      </c>
      <c r="O24" s="6" t="n">
        <f aca="false">SUMIFS('Stock Movements'!$E:$E,'Stock Movements'!$C:$C,$A24,'Stock Movements'!$F:$F,O$2,'Stock Movements'!$D:$D,"Out")</f>
        <v>0</v>
      </c>
      <c r="P24" s="6" t="n">
        <f aca="false">SUMIFS('Stock Movements'!$E:$E,'Stock Movements'!$C:$C,$A24,'Stock Movements'!$F:$F,P$2,'Stock Movements'!$D:$D,"Out")</f>
        <v>0</v>
      </c>
      <c r="Q24" s="6" t="n">
        <f aca="false">SUMIFS('Stock Movements'!$E:$E,'Stock Movements'!$C:$C,$A24,'Stock Movements'!$F:$F,Q$2,'Stock Movements'!$D:$D,"Out")</f>
        <v>0</v>
      </c>
      <c r="R24" s="6" t="n">
        <f aca="false">SUMIFS('Stock Movements'!$E:$E,'Stock Movements'!$C:$C,$A24,'Stock Movements'!$F:$F,R$2,'Stock Movements'!$D:$D,"Out")</f>
        <v>0</v>
      </c>
      <c r="S24" s="6" t="n">
        <f aca="false">SUM(C24:R24)</f>
        <v>0</v>
      </c>
      <c r="T24" s="11" t="n">
        <f aca="false">S24-'Item Catalog'!$M$24</f>
        <v>0</v>
      </c>
    </row>
    <row r="25" customFormat="false" ht="15" hidden="false" customHeight="false" outlineLevel="0" collapsed="false">
      <c r="A25" s="6" t="str">
        <f aca="false">'Item Catalog'!$B$25</f>
        <v>ITM-023 · 5M SF 20SL LW ( MONTHLY (2PC) FOR PURIFIED/MINERAL )</v>
      </c>
      <c r="B25" s="6" t="str">
        <f aca="false">'Item Catalog'!$C$25</f>
        <v>5M SF 20SL LW ( MONTHLY (2PC) FOR PURIFIED/MINERAL )</v>
      </c>
      <c r="C25" s="6" t="n">
        <f aca="false">SUMIFS('Stock Movements'!$E:$E,'Stock Movements'!$C:$C,$A25,'Stock Movements'!$F:$F,C$2,'Stock Movements'!$D:$D,"Out")</f>
        <v>7</v>
      </c>
      <c r="D25" s="6" t="n">
        <f aca="false">SUMIFS('Stock Movements'!$E:$E,'Stock Movements'!$C:$C,$A25,'Stock Movements'!$F:$F,D$2,'Stock Movements'!$D:$D,"Out")</f>
        <v>0</v>
      </c>
      <c r="E25" s="6" t="n">
        <f aca="false">SUMIFS('Stock Movements'!$E:$E,'Stock Movements'!$C:$C,$A25,'Stock Movements'!$F:$F,E$2,'Stock Movements'!$D:$D,"Out")</f>
        <v>0</v>
      </c>
      <c r="F25" s="6" t="n">
        <f aca="false">SUMIFS('Stock Movements'!$E:$E,'Stock Movements'!$C:$C,$A25,'Stock Movements'!$F:$F,F$2,'Stock Movements'!$D:$D,"Out")</f>
        <v>0</v>
      </c>
      <c r="G25" s="6" t="n">
        <f aca="false">SUMIFS('Stock Movements'!$E:$E,'Stock Movements'!$C:$C,$A25,'Stock Movements'!$F:$F,G$2,'Stock Movements'!$D:$D,"Out")</f>
        <v>0</v>
      </c>
      <c r="H25" s="6" t="n">
        <f aca="false">SUMIFS('Stock Movements'!$E:$E,'Stock Movements'!$C:$C,$A25,'Stock Movements'!$F:$F,H$2,'Stock Movements'!$D:$D,"Out")</f>
        <v>0</v>
      </c>
      <c r="I25" s="6" t="n">
        <f aca="false">SUMIFS('Stock Movements'!$E:$E,'Stock Movements'!$C:$C,$A25,'Stock Movements'!$F:$F,I$2,'Stock Movements'!$D:$D,"Out")</f>
        <v>0</v>
      </c>
      <c r="J25" s="6" t="n">
        <f aca="false">SUMIFS('Stock Movements'!$E:$E,'Stock Movements'!$C:$C,$A25,'Stock Movements'!$F:$F,J$2,'Stock Movements'!$D:$D,"Out")</f>
        <v>2</v>
      </c>
      <c r="K25" s="6" t="n">
        <f aca="false">SUMIFS('Stock Movements'!$E:$E,'Stock Movements'!$C:$C,$A25,'Stock Movements'!$F:$F,K$2,'Stock Movements'!$D:$D,"Out")</f>
        <v>0</v>
      </c>
      <c r="L25" s="6" t="n">
        <f aca="false">SUMIFS('Stock Movements'!$E:$E,'Stock Movements'!$C:$C,$A25,'Stock Movements'!$F:$F,L$2,'Stock Movements'!$D:$D,"Out")</f>
        <v>0</v>
      </c>
      <c r="M25" s="6" t="n">
        <f aca="false">SUMIFS('Stock Movements'!$E:$E,'Stock Movements'!$C:$C,$A25,'Stock Movements'!$F:$F,M$2,'Stock Movements'!$D:$D,"Out")</f>
        <v>0</v>
      </c>
      <c r="N25" s="6" t="n">
        <f aca="false">SUMIFS('Stock Movements'!$E:$E,'Stock Movements'!$C:$C,$A25,'Stock Movements'!$F:$F,N$2,'Stock Movements'!$D:$D,"Out")</f>
        <v>0</v>
      </c>
      <c r="O25" s="6" t="n">
        <f aca="false">SUMIFS('Stock Movements'!$E:$E,'Stock Movements'!$C:$C,$A25,'Stock Movements'!$F:$F,O$2,'Stock Movements'!$D:$D,"Out")</f>
        <v>0</v>
      </c>
      <c r="P25" s="6" t="n">
        <f aca="false">SUMIFS('Stock Movements'!$E:$E,'Stock Movements'!$C:$C,$A25,'Stock Movements'!$F:$F,P$2,'Stock Movements'!$D:$D,"Out")</f>
        <v>0</v>
      </c>
      <c r="Q25" s="6" t="n">
        <f aca="false">SUMIFS('Stock Movements'!$E:$E,'Stock Movements'!$C:$C,$A25,'Stock Movements'!$F:$F,Q$2,'Stock Movements'!$D:$D,"Out")</f>
        <v>0</v>
      </c>
      <c r="R25" s="6" t="n">
        <f aca="false">SUMIFS('Stock Movements'!$E:$E,'Stock Movements'!$C:$C,$A25,'Stock Movements'!$F:$F,R$2,'Stock Movements'!$D:$D,"Out")</f>
        <v>0</v>
      </c>
      <c r="S25" s="6" t="n">
        <f aca="false">SUM(C25:R25)</f>
        <v>9</v>
      </c>
      <c r="T25" s="11" t="n">
        <f aca="false">S25-'Item Catalog'!$M$25</f>
        <v>0</v>
      </c>
    </row>
    <row r="26" customFormat="false" ht="15" hidden="false" customHeight="false" outlineLevel="0" collapsed="false">
      <c r="A26" s="6" t="str">
        <f aca="false">'Item Catalog'!$B$26</f>
        <v>ITM-024 · SEDIMENT: LWS 20" SLIM 5-MIC</v>
      </c>
      <c r="B26" s="6" t="str">
        <f aca="false">'Item Catalog'!$C$26</f>
        <v>SEDIMENT: LWS 20" SLIM 5-MIC</v>
      </c>
      <c r="C26" s="6" t="n">
        <f aca="false">SUMIFS('Stock Movements'!$E:$E,'Stock Movements'!$C:$C,$A26,'Stock Movements'!$F:$F,C$2,'Stock Movements'!$D:$D,"Out")</f>
        <v>0</v>
      </c>
      <c r="D26" s="6" t="n">
        <f aca="false">SUMIFS('Stock Movements'!$E:$E,'Stock Movements'!$C:$C,$A26,'Stock Movements'!$F:$F,D$2,'Stock Movements'!$D:$D,"Out")</f>
        <v>0</v>
      </c>
      <c r="E26" s="6" t="n">
        <f aca="false">SUMIFS('Stock Movements'!$E:$E,'Stock Movements'!$C:$C,$A26,'Stock Movements'!$F:$F,E$2,'Stock Movements'!$D:$D,"Out")</f>
        <v>0</v>
      </c>
      <c r="F26" s="6" t="n">
        <f aca="false">SUMIFS('Stock Movements'!$E:$E,'Stock Movements'!$C:$C,$A26,'Stock Movements'!$F:$F,F$2,'Stock Movements'!$D:$D,"Out")</f>
        <v>0</v>
      </c>
      <c r="G26" s="6" t="n">
        <f aca="false">SUMIFS('Stock Movements'!$E:$E,'Stock Movements'!$C:$C,$A26,'Stock Movements'!$F:$F,G$2,'Stock Movements'!$D:$D,"Out")</f>
        <v>0</v>
      </c>
      <c r="H26" s="6" t="n">
        <f aca="false">SUMIFS('Stock Movements'!$E:$E,'Stock Movements'!$C:$C,$A26,'Stock Movements'!$F:$F,H$2,'Stock Movements'!$D:$D,"Out")</f>
        <v>0</v>
      </c>
      <c r="I26" s="6" t="n">
        <f aca="false">SUMIFS('Stock Movements'!$E:$E,'Stock Movements'!$C:$C,$A26,'Stock Movements'!$F:$F,I$2,'Stock Movements'!$D:$D,"Out")</f>
        <v>0</v>
      </c>
      <c r="J26" s="6" t="n">
        <f aca="false">SUMIFS('Stock Movements'!$E:$E,'Stock Movements'!$C:$C,$A26,'Stock Movements'!$F:$F,J$2,'Stock Movements'!$D:$D,"Out")</f>
        <v>0</v>
      </c>
      <c r="K26" s="6" t="n">
        <f aca="false">SUMIFS('Stock Movements'!$E:$E,'Stock Movements'!$C:$C,$A26,'Stock Movements'!$F:$F,K$2,'Stock Movements'!$D:$D,"Out")</f>
        <v>0</v>
      </c>
      <c r="L26" s="6" t="n">
        <f aca="false">SUMIFS('Stock Movements'!$E:$E,'Stock Movements'!$C:$C,$A26,'Stock Movements'!$F:$F,L$2,'Stock Movements'!$D:$D,"Out")</f>
        <v>0</v>
      </c>
      <c r="M26" s="6" t="n">
        <f aca="false">SUMIFS('Stock Movements'!$E:$E,'Stock Movements'!$C:$C,$A26,'Stock Movements'!$F:$F,M$2,'Stock Movements'!$D:$D,"Out")</f>
        <v>0</v>
      </c>
      <c r="N26" s="6" t="n">
        <f aca="false">SUMIFS('Stock Movements'!$E:$E,'Stock Movements'!$C:$C,$A26,'Stock Movements'!$F:$F,N$2,'Stock Movements'!$D:$D,"Out")</f>
        <v>0</v>
      </c>
      <c r="O26" s="6" t="n">
        <f aca="false">SUMIFS('Stock Movements'!$E:$E,'Stock Movements'!$C:$C,$A26,'Stock Movements'!$F:$F,O$2,'Stock Movements'!$D:$D,"Out")</f>
        <v>0</v>
      </c>
      <c r="P26" s="6" t="n">
        <f aca="false">SUMIFS('Stock Movements'!$E:$E,'Stock Movements'!$C:$C,$A26,'Stock Movements'!$F:$F,P$2,'Stock Movements'!$D:$D,"Out")</f>
        <v>0</v>
      </c>
      <c r="Q26" s="6" t="n">
        <f aca="false">SUMIFS('Stock Movements'!$E:$E,'Stock Movements'!$C:$C,$A26,'Stock Movements'!$F:$F,Q$2,'Stock Movements'!$D:$D,"Out")</f>
        <v>0</v>
      </c>
      <c r="R26" s="6" t="n">
        <f aca="false">SUMIFS('Stock Movements'!$E:$E,'Stock Movements'!$C:$C,$A26,'Stock Movements'!$F:$F,R$2,'Stock Movements'!$D:$D,"Out")</f>
        <v>0</v>
      </c>
      <c r="S26" s="6" t="n">
        <f aca="false">SUM(C26:R26)</f>
        <v>0</v>
      </c>
      <c r="T26" s="11" t="n">
        <f aca="false">S26-'Item Catalog'!$M$26</f>
        <v>0</v>
      </c>
    </row>
    <row r="27" customFormat="false" ht="15" hidden="false" customHeight="false" outlineLevel="0" collapsed="false">
      <c r="A27" s="6" t="str">
        <f aca="false">'Item Catalog'!$B$27</f>
        <v>ITM-025 · 1M SF 20S LW ( QUARTERLY (2PC) FOR PURIFIED/MINERAL )</v>
      </c>
      <c r="B27" s="6" t="str">
        <f aca="false">'Item Catalog'!$C$27</f>
        <v>1M SF 20S LW ( QUARTERLY (2PC) FOR PURIFIED/MINERAL )</v>
      </c>
      <c r="C27" s="6" t="n">
        <f aca="false">SUMIFS('Stock Movements'!$E:$E,'Stock Movements'!$C:$C,$A27,'Stock Movements'!$F:$F,C$2,'Stock Movements'!$D:$D,"Out")</f>
        <v>12</v>
      </c>
      <c r="D27" s="6" t="n">
        <f aca="false">SUMIFS('Stock Movements'!$E:$E,'Stock Movements'!$C:$C,$A27,'Stock Movements'!$F:$F,D$2,'Stock Movements'!$D:$D,"Out")</f>
        <v>0</v>
      </c>
      <c r="E27" s="6" t="n">
        <f aca="false">SUMIFS('Stock Movements'!$E:$E,'Stock Movements'!$C:$C,$A27,'Stock Movements'!$F:$F,E$2,'Stock Movements'!$D:$D,"Out")</f>
        <v>0</v>
      </c>
      <c r="F27" s="6" t="n">
        <f aca="false">SUMIFS('Stock Movements'!$E:$E,'Stock Movements'!$C:$C,$A27,'Stock Movements'!$F:$F,F$2,'Stock Movements'!$D:$D,"Out")</f>
        <v>0</v>
      </c>
      <c r="G27" s="6" t="n">
        <f aca="false">SUMIFS('Stock Movements'!$E:$E,'Stock Movements'!$C:$C,$A27,'Stock Movements'!$F:$F,G$2,'Stock Movements'!$D:$D,"Out")</f>
        <v>0</v>
      </c>
      <c r="H27" s="6" t="n">
        <f aca="false">SUMIFS('Stock Movements'!$E:$E,'Stock Movements'!$C:$C,$A27,'Stock Movements'!$F:$F,H$2,'Stock Movements'!$D:$D,"Out")</f>
        <v>0</v>
      </c>
      <c r="I27" s="6" t="n">
        <f aca="false">SUMIFS('Stock Movements'!$E:$E,'Stock Movements'!$C:$C,$A27,'Stock Movements'!$F:$F,I$2,'Stock Movements'!$D:$D,"Out")</f>
        <v>0</v>
      </c>
      <c r="J27" s="6" t="n">
        <f aca="false">SUMIFS('Stock Movements'!$E:$E,'Stock Movements'!$C:$C,$A27,'Stock Movements'!$F:$F,J$2,'Stock Movements'!$D:$D,"Out")</f>
        <v>0</v>
      </c>
      <c r="K27" s="6" t="n">
        <f aca="false">SUMIFS('Stock Movements'!$E:$E,'Stock Movements'!$C:$C,$A27,'Stock Movements'!$F:$F,K$2,'Stock Movements'!$D:$D,"Out")</f>
        <v>0</v>
      </c>
      <c r="L27" s="6" t="n">
        <f aca="false">SUMIFS('Stock Movements'!$E:$E,'Stock Movements'!$C:$C,$A27,'Stock Movements'!$F:$F,L$2,'Stock Movements'!$D:$D,"Out")</f>
        <v>0</v>
      </c>
      <c r="M27" s="6" t="n">
        <f aca="false">SUMIFS('Stock Movements'!$E:$E,'Stock Movements'!$C:$C,$A27,'Stock Movements'!$F:$F,M$2,'Stock Movements'!$D:$D,"Out")</f>
        <v>0</v>
      </c>
      <c r="N27" s="6" t="n">
        <f aca="false">SUMIFS('Stock Movements'!$E:$E,'Stock Movements'!$C:$C,$A27,'Stock Movements'!$F:$F,N$2,'Stock Movements'!$D:$D,"Out")</f>
        <v>1</v>
      </c>
      <c r="O27" s="6" t="n">
        <f aca="false">SUMIFS('Stock Movements'!$E:$E,'Stock Movements'!$C:$C,$A27,'Stock Movements'!$F:$F,O$2,'Stock Movements'!$D:$D,"Out")</f>
        <v>0</v>
      </c>
      <c r="P27" s="6" t="n">
        <f aca="false">SUMIFS('Stock Movements'!$E:$E,'Stock Movements'!$C:$C,$A27,'Stock Movements'!$F:$F,P$2,'Stock Movements'!$D:$D,"Out")</f>
        <v>0</v>
      </c>
      <c r="Q27" s="6" t="n">
        <f aca="false">SUMIFS('Stock Movements'!$E:$E,'Stock Movements'!$C:$C,$A27,'Stock Movements'!$F:$F,Q$2,'Stock Movements'!$D:$D,"Out")</f>
        <v>0</v>
      </c>
      <c r="R27" s="6" t="n">
        <f aca="false">SUMIFS('Stock Movements'!$E:$E,'Stock Movements'!$C:$C,$A27,'Stock Movements'!$F:$F,R$2,'Stock Movements'!$D:$D,"Out")</f>
        <v>0</v>
      </c>
      <c r="S27" s="6" t="n">
        <f aca="false">SUM(C27:R27)</f>
        <v>13</v>
      </c>
      <c r="T27" s="11" t="n">
        <f aca="false">S27-'Item Catalog'!$M$27</f>
        <v>0</v>
      </c>
    </row>
    <row r="28" customFormat="false" ht="15" hidden="false" customHeight="false" outlineLevel="0" collapsed="false">
      <c r="A28" s="6" t="str">
        <f aca="false">'Item Catalog'!$B$28</f>
        <v>ITM-026 · SEDIMENT: LWS 20" SLIM 1-MIC</v>
      </c>
      <c r="B28" s="6" t="str">
        <f aca="false">'Item Catalog'!$C$28</f>
        <v>SEDIMENT: LWS 20" SLIM 1-MIC</v>
      </c>
      <c r="C28" s="6" t="n">
        <f aca="false">SUMIFS('Stock Movements'!$E:$E,'Stock Movements'!$C:$C,$A28,'Stock Movements'!$F:$F,C$2,'Stock Movements'!$D:$D,"Out")</f>
        <v>0</v>
      </c>
      <c r="D28" s="6" t="n">
        <f aca="false">SUMIFS('Stock Movements'!$E:$E,'Stock Movements'!$C:$C,$A28,'Stock Movements'!$F:$F,D$2,'Stock Movements'!$D:$D,"Out")</f>
        <v>0</v>
      </c>
      <c r="E28" s="6" t="n">
        <f aca="false">SUMIFS('Stock Movements'!$E:$E,'Stock Movements'!$C:$C,$A28,'Stock Movements'!$F:$F,E$2,'Stock Movements'!$D:$D,"Out")</f>
        <v>0</v>
      </c>
      <c r="F28" s="6" t="n">
        <f aca="false">SUMIFS('Stock Movements'!$E:$E,'Stock Movements'!$C:$C,$A28,'Stock Movements'!$F:$F,F$2,'Stock Movements'!$D:$D,"Out")</f>
        <v>0</v>
      </c>
      <c r="G28" s="6" t="n">
        <f aca="false">SUMIFS('Stock Movements'!$E:$E,'Stock Movements'!$C:$C,$A28,'Stock Movements'!$F:$F,G$2,'Stock Movements'!$D:$D,"Out")</f>
        <v>0</v>
      </c>
      <c r="H28" s="6" t="n">
        <f aca="false">SUMIFS('Stock Movements'!$E:$E,'Stock Movements'!$C:$C,$A28,'Stock Movements'!$F:$F,H$2,'Stock Movements'!$D:$D,"Out")</f>
        <v>0</v>
      </c>
      <c r="I28" s="6" t="n">
        <f aca="false">SUMIFS('Stock Movements'!$E:$E,'Stock Movements'!$C:$C,$A28,'Stock Movements'!$F:$F,I$2,'Stock Movements'!$D:$D,"Out")</f>
        <v>0</v>
      </c>
      <c r="J28" s="6" t="n">
        <f aca="false">SUMIFS('Stock Movements'!$E:$E,'Stock Movements'!$C:$C,$A28,'Stock Movements'!$F:$F,J$2,'Stock Movements'!$D:$D,"Out")</f>
        <v>0</v>
      </c>
      <c r="K28" s="6" t="n">
        <f aca="false">SUMIFS('Stock Movements'!$E:$E,'Stock Movements'!$C:$C,$A28,'Stock Movements'!$F:$F,K$2,'Stock Movements'!$D:$D,"Out")</f>
        <v>0</v>
      </c>
      <c r="L28" s="6" t="n">
        <f aca="false">SUMIFS('Stock Movements'!$E:$E,'Stock Movements'!$C:$C,$A28,'Stock Movements'!$F:$F,L$2,'Stock Movements'!$D:$D,"Out")</f>
        <v>0</v>
      </c>
      <c r="M28" s="6" t="n">
        <f aca="false">SUMIFS('Stock Movements'!$E:$E,'Stock Movements'!$C:$C,$A28,'Stock Movements'!$F:$F,M$2,'Stock Movements'!$D:$D,"Out")</f>
        <v>0</v>
      </c>
      <c r="N28" s="6" t="n">
        <f aca="false">SUMIFS('Stock Movements'!$E:$E,'Stock Movements'!$C:$C,$A28,'Stock Movements'!$F:$F,N$2,'Stock Movements'!$D:$D,"Out")</f>
        <v>0</v>
      </c>
      <c r="O28" s="6" t="n">
        <f aca="false">SUMIFS('Stock Movements'!$E:$E,'Stock Movements'!$C:$C,$A28,'Stock Movements'!$F:$F,O$2,'Stock Movements'!$D:$D,"Out")</f>
        <v>0</v>
      </c>
      <c r="P28" s="6" t="n">
        <f aca="false">SUMIFS('Stock Movements'!$E:$E,'Stock Movements'!$C:$C,$A28,'Stock Movements'!$F:$F,P$2,'Stock Movements'!$D:$D,"Out")</f>
        <v>0</v>
      </c>
      <c r="Q28" s="6" t="n">
        <f aca="false">SUMIFS('Stock Movements'!$E:$E,'Stock Movements'!$C:$C,$A28,'Stock Movements'!$F:$F,Q$2,'Stock Movements'!$D:$D,"Out")</f>
        <v>0</v>
      </c>
      <c r="R28" s="6" t="n">
        <f aca="false">SUMIFS('Stock Movements'!$E:$E,'Stock Movements'!$C:$C,$A28,'Stock Movements'!$F:$F,R$2,'Stock Movements'!$D:$D,"Out")</f>
        <v>0</v>
      </c>
      <c r="S28" s="6" t="n">
        <f aca="false">SUM(C28:R28)</f>
        <v>0</v>
      </c>
      <c r="T28" s="11" t="n">
        <f aca="false">S28-'Item Catalog'!$M$28</f>
        <v>0</v>
      </c>
    </row>
    <row r="29" customFormat="false" ht="28.35" hidden="false" customHeight="false" outlineLevel="0" collapsed="false">
      <c r="A29" s="10" t="str">
        <f aca="false">'Item Catalog'!$B$29</f>
        <v>ITM-027 · 1M SF 10SL LW ( QUARTERLY (1PC) FOR ALKALINE )
(SEDIMENT: LWS 10" SLIM 1-MIC)</v>
      </c>
      <c r="B29" s="10" t="str">
        <f aca="false">'Item Catalog'!$C$29</f>
        <v>1M SF 10SL LW ( QUARTERLY (1PC) FOR ALKALINE )
(SEDIMENT: LWS 10" SLIM 1-MIC)</v>
      </c>
      <c r="C29" s="6" t="n">
        <f aca="false">SUMIFS('Stock Movements'!$E:$E,'Stock Movements'!$C:$C,$A29,'Stock Movements'!$F:$F,C$2,'Stock Movements'!$D:$D,"Out")</f>
        <v>6</v>
      </c>
      <c r="D29" s="6" t="n">
        <f aca="false">SUMIFS('Stock Movements'!$E:$E,'Stock Movements'!$C:$C,$A29,'Stock Movements'!$F:$F,D$2,'Stock Movements'!$D:$D,"Out")</f>
        <v>0</v>
      </c>
      <c r="E29" s="6" t="n">
        <f aca="false">SUMIFS('Stock Movements'!$E:$E,'Stock Movements'!$C:$C,$A29,'Stock Movements'!$F:$F,E$2,'Stock Movements'!$D:$D,"Out")</f>
        <v>0</v>
      </c>
      <c r="F29" s="6" t="n">
        <f aca="false">SUMIFS('Stock Movements'!$E:$E,'Stock Movements'!$C:$C,$A29,'Stock Movements'!$F:$F,F$2,'Stock Movements'!$D:$D,"Out")</f>
        <v>0</v>
      </c>
      <c r="G29" s="6" t="n">
        <f aca="false">SUMIFS('Stock Movements'!$E:$E,'Stock Movements'!$C:$C,$A29,'Stock Movements'!$F:$F,G$2,'Stock Movements'!$D:$D,"Out")</f>
        <v>0</v>
      </c>
      <c r="H29" s="6" t="n">
        <f aca="false">SUMIFS('Stock Movements'!$E:$E,'Stock Movements'!$C:$C,$A29,'Stock Movements'!$F:$F,H$2,'Stock Movements'!$D:$D,"Out")</f>
        <v>0</v>
      </c>
      <c r="I29" s="6" t="n">
        <f aca="false">SUMIFS('Stock Movements'!$E:$E,'Stock Movements'!$C:$C,$A29,'Stock Movements'!$F:$F,I$2,'Stock Movements'!$D:$D,"Out")</f>
        <v>0</v>
      </c>
      <c r="J29" s="6" t="n">
        <f aca="false">SUMIFS('Stock Movements'!$E:$E,'Stock Movements'!$C:$C,$A29,'Stock Movements'!$F:$F,J$2,'Stock Movements'!$D:$D,"Out")</f>
        <v>0</v>
      </c>
      <c r="K29" s="6" t="n">
        <f aca="false">SUMIFS('Stock Movements'!$E:$E,'Stock Movements'!$C:$C,$A29,'Stock Movements'!$F:$F,K$2,'Stock Movements'!$D:$D,"Out")</f>
        <v>0</v>
      </c>
      <c r="L29" s="6" t="n">
        <f aca="false">SUMIFS('Stock Movements'!$E:$E,'Stock Movements'!$C:$C,$A29,'Stock Movements'!$F:$F,L$2,'Stock Movements'!$D:$D,"Out")</f>
        <v>0</v>
      </c>
      <c r="M29" s="6" t="n">
        <f aca="false">SUMIFS('Stock Movements'!$E:$E,'Stock Movements'!$C:$C,$A29,'Stock Movements'!$F:$F,M$2,'Stock Movements'!$D:$D,"Out")</f>
        <v>0</v>
      </c>
      <c r="N29" s="6" t="n">
        <f aca="false">SUMIFS('Stock Movements'!$E:$E,'Stock Movements'!$C:$C,$A29,'Stock Movements'!$F:$F,N$2,'Stock Movements'!$D:$D,"Out")</f>
        <v>0</v>
      </c>
      <c r="O29" s="6" t="n">
        <f aca="false">SUMIFS('Stock Movements'!$E:$E,'Stock Movements'!$C:$C,$A29,'Stock Movements'!$F:$F,O$2,'Stock Movements'!$D:$D,"Out")</f>
        <v>0</v>
      </c>
      <c r="P29" s="6" t="n">
        <f aca="false">SUMIFS('Stock Movements'!$E:$E,'Stock Movements'!$C:$C,$A29,'Stock Movements'!$F:$F,P$2,'Stock Movements'!$D:$D,"Out")</f>
        <v>0</v>
      </c>
      <c r="Q29" s="6" t="n">
        <f aca="false">SUMIFS('Stock Movements'!$E:$E,'Stock Movements'!$C:$C,$A29,'Stock Movements'!$F:$F,Q$2,'Stock Movements'!$D:$D,"Out")</f>
        <v>0</v>
      </c>
      <c r="R29" s="6" t="n">
        <f aca="false">SUMIFS('Stock Movements'!$E:$E,'Stock Movements'!$C:$C,$A29,'Stock Movements'!$F:$F,R$2,'Stock Movements'!$D:$D,"Out")</f>
        <v>0</v>
      </c>
      <c r="S29" s="6" t="n">
        <f aca="false">SUM(C29:R29)</f>
        <v>6</v>
      </c>
      <c r="T29" s="11" t="n">
        <f aca="false">S29-'Item Catalog'!$M$29</f>
        <v>0</v>
      </c>
    </row>
    <row r="30" customFormat="false" ht="15" hidden="false" customHeight="false" outlineLevel="0" collapsed="false">
      <c r="A30" s="6" t="str">
        <f aca="false">'Item Catalog'!$B$30</f>
        <v>ITM-028 · HYDROSEP CTO 20SL ( QUARTERLY (2PC) FOR PURIFIED/MINERAL )</v>
      </c>
      <c r="B30" s="6" t="str">
        <f aca="false">'Item Catalog'!$C$30</f>
        <v>HYDROSEP CTO 20SL ( QUARTERLY (2PC) FOR PURIFIED/MINERAL )</v>
      </c>
      <c r="C30" s="6" t="n">
        <f aca="false">SUMIFS('Stock Movements'!$E:$E,'Stock Movements'!$C:$C,$A30,'Stock Movements'!$F:$F,C$2,'Stock Movements'!$D:$D,"Out")</f>
        <v>13</v>
      </c>
      <c r="D30" s="6" t="n">
        <f aca="false">SUMIFS('Stock Movements'!$E:$E,'Stock Movements'!$C:$C,$A30,'Stock Movements'!$F:$F,D$2,'Stock Movements'!$D:$D,"Out")</f>
        <v>0</v>
      </c>
      <c r="E30" s="6" t="n">
        <f aca="false">SUMIFS('Stock Movements'!$E:$E,'Stock Movements'!$C:$C,$A30,'Stock Movements'!$F:$F,E$2,'Stock Movements'!$D:$D,"Out")</f>
        <v>2</v>
      </c>
      <c r="F30" s="6" t="n">
        <f aca="false">SUMIFS('Stock Movements'!$E:$E,'Stock Movements'!$C:$C,$A30,'Stock Movements'!$F:$F,F$2,'Stock Movements'!$D:$D,"Out")</f>
        <v>0</v>
      </c>
      <c r="G30" s="6" t="n">
        <f aca="false">SUMIFS('Stock Movements'!$E:$E,'Stock Movements'!$C:$C,$A30,'Stock Movements'!$F:$F,G$2,'Stock Movements'!$D:$D,"Out")</f>
        <v>0</v>
      </c>
      <c r="H30" s="6" t="n">
        <f aca="false">SUMIFS('Stock Movements'!$E:$E,'Stock Movements'!$C:$C,$A30,'Stock Movements'!$F:$F,H$2,'Stock Movements'!$D:$D,"Out")</f>
        <v>0</v>
      </c>
      <c r="I30" s="6" t="n">
        <f aca="false">SUMIFS('Stock Movements'!$E:$E,'Stock Movements'!$C:$C,$A30,'Stock Movements'!$F:$F,I$2,'Stock Movements'!$D:$D,"Out")</f>
        <v>0</v>
      </c>
      <c r="J30" s="6" t="n">
        <f aca="false">SUMIFS('Stock Movements'!$E:$E,'Stock Movements'!$C:$C,$A30,'Stock Movements'!$F:$F,J$2,'Stock Movements'!$D:$D,"Out")</f>
        <v>0</v>
      </c>
      <c r="K30" s="6" t="n">
        <f aca="false">SUMIFS('Stock Movements'!$E:$E,'Stock Movements'!$C:$C,$A30,'Stock Movements'!$F:$F,K$2,'Stock Movements'!$D:$D,"Out")</f>
        <v>0</v>
      </c>
      <c r="L30" s="6" t="n">
        <f aca="false">SUMIFS('Stock Movements'!$E:$E,'Stock Movements'!$C:$C,$A30,'Stock Movements'!$F:$F,L$2,'Stock Movements'!$D:$D,"Out")</f>
        <v>0</v>
      </c>
      <c r="M30" s="6" t="n">
        <f aca="false">SUMIFS('Stock Movements'!$E:$E,'Stock Movements'!$C:$C,$A30,'Stock Movements'!$F:$F,M$2,'Stock Movements'!$D:$D,"Out")</f>
        <v>0</v>
      </c>
      <c r="N30" s="6" t="n">
        <f aca="false">SUMIFS('Stock Movements'!$E:$E,'Stock Movements'!$C:$C,$A30,'Stock Movements'!$F:$F,N$2,'Stock Movements'!$D:$D,"Out")</f>
        <v>3</v>
      </c>
      <c r="O30" s="6" t="n">
        <f aca="false">SUMIFS('Stock Movements'!$E:$E,'Stock Movements'!$C:$C,$A30,'Stock Movements'!$F:$F,O$2,'Stock Movements'!$D:$D,"Out")</f>
        <v>0</v>
      </c>
      <c r="P30" s="6" t="n">
        <f aca="false">SUMIFS('Stock Movements'!$E:$E,'Stock Movements'!$C:$C,$A30,'Stock Movements'!$F:$F,P$2,'Stock Movements'!$D:$D,"Out")</f>
        <v>0</v>
      </c>
      <c r="Q30" s="6" t="n">
        <f aca="false">SUMIFS('Stock Movements'!$E:$E,'Stock Movements'!$C:$C,$A30,'Stock Movements'!$F:$F,Q$2,'Stock Movements'!$D:$D,"Out")</f>
        <v>2</v>
      </c>
      <c r="R30" s="6" t="n">
        <f aca="false">SUMIFS('Stock Movements'!$E:$E,'Stock Movements'!$C:$C,$A30,'Stock Movements'!$F:$F,R$2,'Stock Movements'!$D:$D,"Out")</f>
        <v>0</v>
      </c>
      <c r="S30" s="6" t="n">
        <f aca="false">SUM(C30:R30)</f>
        <v>20</v>
      </c>
      <c r="T30" s="11" t="n">
        <f aca="false">S30-'Item Catalog'!$M$30</f>
        <v>0</v>
      </c>
    </row>
    <row r="31" customFormat="false" ht="15" hidden="false" customHeight="false" outlineLevel="0" collapsed="false">
      <c r="A31" s="6" t="str">
        <f aca="false">'Item Catalog'!$B$31</f>
        <v>ITM-029 · HYDROSEP CTO 10SL ( QUARTERLY (1PC) FOR ALKALINE )</v>
      </c>
      <c r="B31" s="6" t="str">
        <f aca="false">'Item Catalog'!$C$31</f>
        <v>HYDROSEP CTO 10SL ( QUARTERLY (1PC) FOR ALKALINE )</v>
      </c>
      <c r="C31" s="6" t="n">
        <f aca="false">SUMIFS('Stock Movements'!$E:$E,'Stock Movements'!$C:$C,$A31,'Stock Movements'!$F:$F,C$2,'Stock Movements'!$D:$D,"Out")</f>
        <v>6</v>
      </c>
      <c r="D31" s="6" t="n">
        <f aca="false">SUMIFS('Stock Movements'!$E:$E,'Stock Movements'!$C:$C,$A31,'Stock Movements'!$F:$F,D$2,'Stock Movements'!$D:$D,"Out")</f>
        <v>0</v>
      </c>
      <c r="E31" s="6" t="n">
        <f aca="false">SUMIFS('Stock Movements'!$E:$E,'Stock Movements'!$C:$C,$A31,'Stock Movements'!$F:$F,E$2,'Stock Movements'!$D:$D,"Out")</f>
        <v>0</v>
      </c>
      <c r="F31" s="6" t="n">
        <f aca="false">SUMIFS('Stock Movements'!$E:$E,'Stock Movements'!$C:$C,$A31,'Stock Movements'!$F:$F,F$2,'Stock Movements'!$D:$D,"Out")</f>
        <v>0</v>
      </c>
      <c r="G31" s="6" t="n">
        <f aca="false">SUMIFS('Stock Movements'!$E:$E,'Stock Movements'!$C:$C,$A31,'Stock Movements'!$F:$F,G$2,'Stock Movements'!$D:$D,"Out")</f>
        <v>0</v>
      </c>
      <c r="H31" s="6" t="n">
        <f aca="false">SUMIFS('Stock Movements'!$E:$E,'Stock Movements'!$C:$C,$A31,'Stock Movements'!$F:$F,H$2,'Stock Movements'!$D:$D,"Out")</f>
        <v>0</v>
      </c>
      <c r="I31" s="6" t="n">
        <f aca="false">SUMIFS('Stock Movements'!$E:$E,'Stock Movements'!$C:$C,$A31,'Stock Movements'!$F:$F,I$2,'Stock Movements'!$D:$D,"Out")</f>
        <v>0</v>
      </c>
      <c r="J31" s="6" t="n">
        <f aca="false">SUMIFS('Stock Movements'!$E:$E,'Stock Movements'!$C:$C,$A31,'Stock Movements'!$F:$F,J$2,'Stock Movements'!$D:$D,"Out")</f>
        <v>0</v>
      </c>
      <c r="K31" s="6" t="n">
        <f aca="false">SUMIFS('Stock Movements'!$E:$E,'Stock Movements'!$C:$C,$A31,'Stock Movements'!$F:$F,K$2,'Stock Movements'!$D:$D,"Out")</f>
        <v>0</v>
      </c>
      <c r="L31" s="6" t="n">
        <f aca="false">SUMIFS('Stock Movements'!$E:$E,'Stock Movements'!$C:$C,$A31,'Stock Movements'!$F:$F,L$2,'Stock Movements'!$D:$D,"Out")</f>
        <v>0</v>
      </c>
      <c r="M31" s="6" t="n">
        <f aca="false">SUMIFS('Stock Movements'!$E:$E,'Stock Movements'!$C:$C,$A31,'Stock Movements'!$F:$F,M$2,'Stock Movements'!$D:$D,"Out")</f>
        <v>0</v>
      </c>
      <c r="N31" s="6" t="n">
        <f aca="false">SUMIFS('Stock Movements'!$E:$E,'Stock Movements'!$C:$C,$A31,'Stock Movements'!$F:$F,N$2,'Stock Movements'!$D:$D,"Out")</f>
        <v>0</v>
      </c>
      <c r="O31" s="6" t="n">
        <f aca="false">SUMIFS('Stock Movements'!$E:$E,'Stock Movements'!$C:$C,$A31,'Stock Movements'!$F:$F,O$2,'Stock Movements'!$D:$D,"Out")</f>
        <v>0</v>
      </c>
      <c r="P31" s="6" t="n">
        <f aca="false">SUMIFS('Stock Movements'!$E:$E,'Stock Movements'!$C:$C,$A31,'Stock Movements'!$F:$F,P$2,'Stock Movements'!$D:$D,"Out")</f>
        <v>0</v>
      </c>
      <c r="Q31" s="6" t="n">
        <f aca="false">SUMIFS('Stock Movements'!$E:$E,'Stock Movements'!$C:$C,$A31,'Stock Movements'!$F:$F,Q$2,'Stock Movements'!$D:$D,"Out")</f>
        <v>0</v>
      </c>
      <c r="R31" s="6" t="n">
        <f aca="false">SUMIFS('Stock Movements'!$E:$E,'Stock Movements'!$C:$C,$A31,'Stock Movements'!$F:$F,R$2,'Stock Movements'!$D:$D,"Out")</f>
        <v>0</v>
      </c>
      <c r="S31" s="6" t="n">
        <f aca="false">SUM(C31:R31)</f>
        <v>6</v>
      </c>
      <c r="T31" s="11" t="n">
        <f aca="false">S31-'Item Catalog'!$M$31</f>
        <v>0</v>
      </c>
    </row>
    <row r="32" customFormat="false" ht="15" hidden="false" customHeight="false" outlineLevel="0" collapsed="false">
      <c r="A32" s="6" t="str">
        <f aca="false">'Item Catalog'!$B$32</f>
        <v>ITM-030 · CERAMIC FILTER 10SL ( QUARTERLY (1PC) FOR ALKALINE )</v>
      </c>
      <c r="B32" s="6" t="str">
        <f aca="false">'Item Catalog'!$C$32</f>
        <v>CERAMIC FILTER 10SL ( QUARTERLY (1PC) FOR ALKALINE )</v>
      </c>
      <c r="C32" s="6" t="n">
        <f aca="false">SUMIFS('Stock Movements'!$E:$E,'Stock Movements'!$C:$C,$A32,'Stock Movements'!$F:$F,C$2,'Stock Movements'!$D:$D,"Out")</f>
        <v>3</v>
      </c>
      <c r="D32" s="6" t="n">
        <f aca="false">SUMIFS('Stock Movements'!$E:$E,'Stock Movements'!$C:$C,$A32,'Stock Movements'!$F:$F,D$2,'Stock Movements'!$D:$D,"Out")</f>
        <v>0</v>
      </c>
      <c r="E32" s="6" t="n">
        <f aca="false">SUMIFS('Stock Movements'!$E:$E,'Stock Movements'!$C:$C,$A32,'Stock Movements'!$F:$F,E$2,'Stock Movements'!$D:$D,"Out")</f>
        <v>0</v>
      </c>
      <c r="F32" s="6" t="n">
        <f aca="false">SUMIFS('Stock Movements'!$E:$E,'Stock Movements'!$C:$C,$A32,'Stock Movements'!$F:$F,F$2,'Stock Movements'!$D:$D,"Out")</f>
        <v>0</v>
      </c>
      <c r="G32" s="6" t="n">
        <f aca="false">SUMIFS('Stock Movements'!$E:$E,'Stock Movements'!$C:$C,$A32,'Stock Movements'!$F:$F,G$2,'Stock Movements'!$D:$D,"Out")</f>
        <v>0</v>
      </c>
      <c r="H32" s="6" t="n">
        <f aca="false">SUMIFS('Stock Movements'!$E:$E,'Stock Movements'!$C:$C,$A32,'Stock Movements'!$F:$F,H$2,'Stock Movements'!$D:$D,"Out")</f>
        <v>0</v>
      </c>
      <c r="I32" s="6" t="n">
        <f aca="false">SUMIFS('Stock Movements'!$E:$E,'Stock Movements'!$C:$C,$A32,'Stock Movements'!$F:$F,I$2,'Stock Movements'!$D:$D,"Out")</f>
        <v>0</v>
      </c>
      <c r="J32" s="6" t="n">
        <f aca="false">SUMIFS('Stock Movements'!$E:$E,'Stock Movements'!$C:$C,$A32,'Stock Movements'!$F:$F,J$2,'Stock Movements'!$D:$D,"Out")</f>
        <v>0</v>
      </c>
      <c r="K32" s="6" t="n">
        <f aca="false">SUMIFS('Stock Movements'!$E:$E,'Stock Movements'!$C:$C,$A32,'Stock Movements'!$F:$F,K$2,'Stock Movements'!$D:$D,"Out")</f>
        <v>0</v>
      </c>
      <c r="L32" s="6" t="n">
        <f aca="false">SUMIFS('Stock Movements'!$E:$E,'Stock Movements'!$C:$C,$A32,'Stock Movements'!$F:$F,L$2,'Stock Movements'!$D:$D,"Out")</f>
        <v>0</v>
      </c>
      <c r="M32" s="6" t="n">
        <f aca="false">SUMIFS('Stock Movements'!$E:$E,'Stock Movements'!$C:$C,$A32,'Stock Movements'!$F:$F,M$2,'Stock Movements'!$D:$D,"Out")</f>
        <v>0</v>
      </c>
      <c r="N32" s="6" t="n">
        <f aca="false">SUMIFS('Stock Movements'!$E:$E,'Stock Movements'!$C:$C,$A32,'Stock Movements'!$F:$F,N$2,'Stock Movements'!$D:$D,"Out")</f>
        <v>0</v>
      </c>
      <c r="O32" s="6" t="n">
        <f aca="false">SUMIFS('Stock Movements'!$E:$E,'Stock Movements'!$C:$C,$A32,'Stock Movements'!$F:$F,O$2,'Stock Movements'!$D:$D,"Out")</f>
        <v>0</v>
      </c>
      <c r="P32" s="6" t="n">
        <f aca="false">SUMIFS('Stock Movements'!$E:$E,'Stock Movements'!$C:$C,$A32,'Stock Movements'!$F:$F,P$2,'Stock Movements'!$D:$D,"Out")</f>
        <v>0</v>
      </c>
      <c r="Q32" s="6" t="n">
        <f aca="false">SUMIFS('Stock Movements'!$E:$E,'Stock Movements'!$C:$C,$A32,'Stock Movements'!$F:$F,Q$2,'Stock Movements'!$D:$D,"Out")</f>
        <v>0</v>
      </c>
      <c r="R32" s="6" t="n">
        <f aca="false">SUMIFS('Stock Movements'!$E:$E,'Stock Movements'!$C:$C,$A32,'Stock Movements'!$F:$F,R$2,'Stock Movements'!$D:$D,"Out")</f>
        <v>0</v>
      </c>
      <c r="S32" s="6" t="n">
        <f aca="false">SUM(C32:R32)</f>
        <v>3</v>
      </c>
      <c r="T32" s="11" t="n">
        <f aca="false">S32-'Item Catalog'!$M$32</f>
        <v>0</v>
      </c>
    </row>
    <row r="33" customFormat="false" ht="15" hidden="false" customHeight="false" outlineLevel="0" collapsed="false">
      <c r="A33" s="6" t="str">
        <f aca="false">'Item Catalog'!$B$33</f>
        <v>ITM-031 · BIO FILTER 10SL ( QUARTERLY (1PC) FOR ALKALINE )</v>
      </c>
      <c r="B33" s="6" t="str">
        <f aca="false">'Item Catalog'!$C$33</f>
        <v>BIO FILTER 10SL ( QUARTERLY (1PC) FOR ALKALINE )</v>
      </c>
      <c r="C33" s="6" t="n">
        <f aca="false">SUMIFS('Stock Movements'!$E:$E,'Stock Movements'!$C:$C,$A33,'Stock Movements'!$F:$F,C$2,'Stock Movements'!$D:$D,"Out")</f>
        <v>2</v>
      </c>
      <c r="D33" s="6" t="n">
        <f aca="false">SUMIFS('Stock Movements'!$E:$E,'Stock Movements'!$C:$C,$A33,'Stock Movements'!$F:$F,D$2,'Stock Movements'!$D:$D,"Out")</f>
        <v>0</v>
      </c>
      <c r="E33" s="6" t="n">
        <f aca="false">SUMIFS('Stock Movements'!$E:$E,'Stock Movements'!$C:$C,$A33,'Stock Movements'!$F:$F,E$2,'Stock Movements'!$D:$D,"Out")</f>
        <v>0</v>
      </c>
      <c r="F33" s="6" t="n">
        <f aca="false">SUMIFS('Stock Movements'!$E:$E,'Stock Movements'!$C:$C,$A33,'Stock Movements'!$F:$F,F$2,'Stock Movements'!$D:$D,"Out")</f>
        <v>0</v>
      </c>
      <c r="G33" s="6" t="n">
        <f aca="false">SUMIFS('Stock Movements'!$E:$E,'Stock Movements'!$C:$C,$A33,'Stock Movements'!$F:$F,G$2,'Stock Movements'!$D:$D,"Out")</f>
        <v>0</v>
      </c>
      <c r="H33" s="6" t="n">
        <f aca="false">SUMIFS('Stock Movements'!$E:$E,'Stock Movements'!$C:$C,$A33,'Stock Movements'!$F:$F,H$2,'Stock Movements'!$D:$D,"Out")</f>
        <v>0</v>
      </c>
      <c r="I33" s="6" t="n">
        <f aca="false">SUMIFS('Stock Movements'!$E:$E,'Stock Movements'!$C:$C,$A33,'Stock Movements'!$F:$F,I$2,'Stock Movements'!$D:$D,"Out")</f>
        <v>0</v>
      </c>
      <c r="J33" s="6" t="n">
        <f aca="false">SUMIFS('Stock Movements'!$E:$E,'Stock Movements'!$C:$C,$A33,'Stock Movements'!$F:$F,J$2,'Stock Movements'!$D:$D,"Out")</f>
        <v>0</v>
      </c>
      <c r="K33" s="6" t="n">
        <f aca="false">SUMIFS('Stock Movements'!$E:$E,'Stock Movements'!$C:$C,$A33,'Stock Movements'!$F:$F,K$2,'Stock Movements'!$D:$D,"Out")</f>
        <v>0</v>
      </c>
      <c r="L33" s="6" t="n">
        <f aca="false">SUMIFS('Stock Movements'!$E:$E,'Stock Movements'!$C:$C,$A33,'Stock Movements'!$F:$F,L$2,'Stock Movements'!$D:$D,"Out")</f>
        <v>0</v>
      </c>
      <c r="M33" s="6" t="n">
        <f aca="false">SUMIFS('Stock Movements'!$E:$E,'Stock Movements'!$C:$C,$A33,'Stock Movements'!$F:$F,M$2,'Stock Movements'!$D:$D,"Out")</f>
        <v>0</v>
      </c>
      <c r="N33" s="6" t="n">
        <f aca="false">SUMIFS('Stock Movements'!$E:$E,'Stock Movements'!$C:$C,$A33,'Stock Movements'!$F:$F,N$2,'Stock Movements'!$D:$D,"Out")</f>
        <v>0</v>
      </c>
      <c r="O33" s="6" t="n">
        <f aca="false">SUMIFS('Stock Movements'!$E:$E,'Stock Movements'!$C:$C,$A33,'Stock Movements'!$F:$F,O$2,'Stock Movements'!$D:$D,"Out")</f>
        <v>0</v>
      </c>
      <c r="P33" s="6" t="n">
        <f aca="false">SUMIFS('Stock Movements'!$E:$E,'Stock Movements'!$C:$C,$A33,'Stock Movements'!$F:$F,P$2,'Stock Movements'!$D:$D,"Out")</f>
        <v>0</v>
      </c>
      <c r="Q33" s="6" t="n">
        <f aca="false">SUMIFS('Stock Movements'!$E:$E,'Stock Movements'!$C:$C,$A33,'Stock Movements'!$F:$F,Q$2,'Stock Movements'!$D:$D,"Out")</f>
        <v>0</v>
      </c>
      <c r="R33" s="6" t="n">
        <f aca="false">SUMIFS('Stock Movements'!$E:$E,'Stock Movements'!$C:$C,$A33,'Stock Movements'!$F:$F,R$2,'Stock Movements'!$D:$D,"Out")</f>
        <v>0</v>
      </c>
      <c r="S33" s="6" t="n">
        <f aca="false">SUM(C33:R33)</f>
        <v>2</v>
      </c>
      <c r="T33" s="11" t="n">
        <f aca="false">S33-'Item Catalog'!$M$33</f>
        <v>0</v>
      </c>
    </row>
    <row r="34" customFormat="false" ht="15" hidden="false" customHeight="false" outlineLevel="0" collapsed="false">
      <c r="A34" s="6" t="str">
        <f aca="false">'Item Catalog'!$B$34</f>
        <v>ITM-032 · WOW 20" SLIM 5-MIC</v>
      </c>
      <c r="B34" s="6" t="str">
        <f aca="false">'Item Catalog'!$C$34</f>
        <v>WOW 20" SLIM 5-MIC</v>
      </c>
      <c r="C34" s="6" t="n">
        <f aca="false">SUMIFS('Stock Movements'!$E:$E,'Stock Movements'!$C:$C,$A34,'Stock Movements'!$F:$F,C$2,'Stock Movements'!$D:$D,"Out")</f>
        <v>0</v>
      </c>
      <c r="D34" s="6" t="n">
        <f aca="false">SUMIFS('Stock Movements'!$E:$E,'Stock Movements'!$C:$C,$A34,'Stock Movements'!$F:$F,D$2,'Stock Movements'!$D:$D,"Out")</f>
        <v>2</v>
      </c>
      <c r="E34" s="6" t="n">
        <f aca="false">SUMIFS('Stock Movements'!$E:$E,'Stock Movements'!$C:$C,$A34,'Stock Movements'!$F:$F,E$2,'Stock Movements'!$D:$D,"Out")</f>
        <v>0</v>
      </c>
      <c r="F34" s="6" t="n">
        <f aca="false">SUMIFS('Stock Movements'!$E:$E,'Stock Movements'!$C:$C,$A34,'Stock Movements'!$F:$F,F$2,'Stock Movements'!$D:$D,"Out")</f>
        <v>0</v>
      </c>
      <c r="G34" s="6" t="n">
        <f aca="false">SUMIFS('Stock Movements'!$E:$E,'Stock Movements'!$C:$C,$A34,'Stock Movements'!$F:$F,G$2,'Stock Movements'!$D:$D,"Out")</f>
        <v>0</v>
      </c>
      <c r="H34" s="6" t="n">
        <f aca="false">SUMIFS('Stock Movements'!$E:$E,'Stock Movements'!$C:$C,$A34,'Stock Movements'!$F:$F,H$2,'Stock Movements'!$D:$D,"Out")</f>
        <v>0</v>
      </c>
      <c r="I34" s="6" t="n">
        <f aca="false">SUMIFS('Stock Movements'!$E:$E,'Stock Movements'!$C:$C,$A34,'Stock Movements'!$F:$F,I$2,'Stock Movements'!$D:$D,"Out")</f>
        <v>0</v>
      </c>
      <c r="J34" s="6" t="n">
        <f aca="false">SUMIFS('Stock Movements'!$E:$E,'Stock Movements'!$C:$C,$A34,'Stock Movements'!$F:$F,J$2,'Stock Movements'!$D:$D,"Out")</f>
        <v>0</v>
      </c>
      <c r="K34" s="6" t="n">
        <f aca="false">SUMIFS('Stock Movements'!$E:$E,'Stock Movements'!$C:$C,$A34,'Stock Movements'!$F:$F,K$2,'Stock Movements'!$D:$D,"Out")</f>
        <v>0</v>
      </c>
      <c r="L34" s="6" t="n">
        <f aca="false">SUMIFS('Stock Movements'!$E:$E,'Stock Movements'!$C:$C,$A34,'Stock Movements'!$F:$F,L$2,'Stock Movements'!$D:$D,"Out")</f>
        <v>0</v>
      </c>
      <c r="M34" s="6" t="n">
        <f aca="false">SUMIFS('Stock Movements'!$E:$E,'Stock Movements'!$C:$C,$A34,'Stock Movements'!$F:$F,M$2,'Stock Movements'!$D:$D,"Out")</f>
        <v>0</v>
      </c>
      <c r="N34" s="6" t="n">
        <f aca="false">SUMIFS('Stock Movements'!$E:$E,'Stock Movements'!$C:$C,$A34,'Stock Movements'!$F:$F,N$2,'Stock Movements'!$D:$D,"Out")</f>
        <v>0</v>
      </c>
      <c r="O34" s="6" t="n">
        <f aca="false">SUMIFS('Stock Movements'!$E:$E,'Stock Movements'!$C:$C,$A34,'Stock Movements'!$F:$F,O$2,'Stock Movements'!$D:$D,"Out")</f>
        <v>0</v>
      </c>
      <c r="P34" s="6" t="n">
        <f aca="false">SUMIFS('Stock Movements'!$E:$E,'Stock Movements'!$C:$C,$A34,'Stock Movements'!$F:$F,P$2,'Stock Movements'!$D:$D,"Out")</f>
        <v>4</v>
      </c>
      <c r="Q34" s="6" t="n">
        <f aca="false">SUMIFS('Stock Movements'!$E:$E,'Stock Movements'!$C:$C,$A34,'Stock Movements'!$F:$F,Q$2,'Stock Movements'!$D:$D,"Out")</f>
        <v>4</v>
      </c>
      <c r="R34" s="6" t="n">
        <f aca="false">SUMIFS('Stock Movements'!$E:$E,'Stock Movements'!$C:$C,$A34,'Stock Movements'!$F:$F,R$2,'Stock Movements'!$D:$D,"Out")</f>
        <v>0</v>
      </c>
      <c r="S34" s="6" t="n">
        <f aca="false">SUM(C34:R34)</f>
        <v>10</v>
      </c>
      <c r="T34" s="11" t="n">
        <f aca="false">S34-'Item Catalog'!$M$34</f>
        <v>0</v>
      </c>
    </row>
    <row r="35" customFormat="false" ht="15" hidden="false" customHeight="false" outlineLevel="0" collapsed="false">
      <c r="A35" s="6" t="str">
        <f aca="false">'Item Catalog'!$B$35</f>
        <v>ITM-033 · WOW 20" SLIM 1-MIC</v>
      </c>
      <c r="B35" s="6" t="str">
        <f aca="false">'Item Catalog'!$C$35</f>
        <v>WOW 20" SLIM 1-MIC</v>
      </c>
      <c r="C35" s="6" t="n">
        <f aca="false">SUMIFS('Stock Movements'!$E:$E,'Stock Movements'!$C:$C,$A35,'Stock Movements'!$F:$F,C$2,'Stock Movements'!$D:$D,"Out")</f>
        <v>0</v>
      </c>
      <c r="D35" s="6" t="n">
        <f aca="false">SUMIFS('Stock Movements'!$E:$E,'Stock Movements'!$C:$C,$A35,'Stock Movements'!$F:$F,D$2,'Stock Movements'!$D:$D,"Out")</f>
        <v>2</v>
      </c>
      <c r="E35" s="6" t="n">
        <f aca="false">SUMIFS('Stock Movements'!$E:$E,'Stock Movements'!$C:$C,$A35,'Stock Movements'!$F:$F,E$2,'Stock Movements'!$D:$D,"Out")</f>
        <v>0</v>
      </c>
      <c r="F35" s="6" t="n">
        <f aca="false">SUMIFS('Stock Movements'!$E:$E,'Stock Movements'!$C:$C,$A35,'Stock Movements'!$F:$F,F$2,'Stock Movements'!$D:$D,"Out")</f>
        <v>0</v>
      </c>
      <c r="G35" s="6" t="n">
        <f aca="false">SUMIFS('Stock Movements'!$E:$E,'Stock Movements'!$C:$C,$A35,'Stock Movements'!$F:$F,G$2,'Stock Movements'!$D:$D,"Out")</f>
        <v>0</v>
      </c>
      <c r="H35" s="6" t="n">
        <f aca="false">SUMIFS('Stock Movements'!$E:$E,'Stock Movements'!$C:$C,$A35,'Stock Movements'!$F:$F,H$2,'Stock Movements'!$D:$D,"Out")</f>
        <v>0</v>
      </c>
      <c r="I35" s="6" t="n">
        <f aca="false">SUMIFS('Stock Movements'!$E:$E,'Stock Movements'!$C:$C,$A35,'Stock Movements'!$F:$F,I$2,'Stock Movements'!$D:$D,"Out")</f>
        <v>0</v>
      </c>
      <c r="J35" s="6" t="n">
        <f aca="false">SUMIFS('Stock Movements'!$E:$E,'Stock Movements'!$C:$C,$A35,'Stock Movements'!$F:$F,J$2,'Stock Movements'!$D:$D,"Out")</f>
        <v>0</v>
      </c>
      <c r="K35" s="6" t="n">
        <f aca="false">SUMIFS('Stock Movements'!$E:$E,'Stock Movements'!$C:$C,$A35,'Stock Movements'!$F:$F,K$2,'Stock Movements'!$D:$D,"Out")</f>
        <v>0</v>
      </c>
      <c r="L35" s="6" t="n">
        <f aca="false">SUMIFS('Stock Movements'!$E:$E,'Stock Movements'!$C:$C,$A35,'Stock Movements'!$F:$F,L$2,'Stock Movements'!$D:$D,"Out")</f>
        <v>0</v>
      </c>
      <c r="M35" s="6" t="n">
        <f aca="false">SUMIFS('Stock Movements'!$E:$E,'Stock Movements'!$C:$C,$A35,'Stock Movements'!$F:$F,M$2,'Stock Movements'!$D:$D,"Out")</f>
        <v>0</v>
      </c>
      <c r="N35" s="6" t="n">
        <f aca="false">SUMIFS('Stock Movements'!$E:$E,'Stock Movements'!$C:$C,$A35,'Stock Movements'!$F:$F,N$2,'Stock Movements'!$D:$D,"Out")</f>
        <v>1</v>
      </c>
      <c r="O35" s="6" t="n">
        <f aca="false">SUMIFS('Stock Movements'!$E:$E,'Stock Movements'!$C:$C,$A35,'Stock Movements'!$F:$F,O$2,'Stock Movements'!$D:$D,"Out")</f>
        <v>0</v>
      </c>
      <c r="P35" s="6" t="n">
        <f aca="false">SUMIFS('Stock Movements'!$E:$E,'Stock Movements'!$C:$C,$A35,'Stock Movements'!$F:$F,P$2,'Stock Movements'!$D:$D,"Out")</f>
        <v>4</v>
      </c>
      <c r="Q35" s="6" t="n">
        <f aca="false">SUMIFS('Stock Movements'!$E:$E,'Stock Movements'!$C:$C,$A35,'Stock Movements'!$F:$F,Q$2,'Stock Movements'!$D:$D,"Out")</f>
        <v>3</v>
      </c>
      <c r="R35" s="6" t="n">
        <f aca="false">SUMIFS('Stock Movements'!$E:$E,'Stock Movements'!$C:$C,$A35,'Stock Movements'!$F:$F,R$2,'Stock Movements'!$D:$D,"Out")</f>
        <v>0</v>
      </c>
      <c r="S35" s="6" t="n">
        <f aca="false">SUM(C35:R35)</f>
        <v>10</v>
      </c>
      <c r="T35" s="11" t="n">
        <f aca="false">S35-'Item Catalog'!$M$35</f>
        <v>0</v>
      </c>
    </row>
    <row r="36" customFormat="false" ht="15" hidden="false" customHeight="false" outlineLevel="0" collapsed="false">
      <c r="A36" s="6" t="str">
        <f aca="false">'Item Catalog'!$B$36</f>
        <v>ITM-034 · WOW 10" SLIM 1-MIC</v>
      </c>
      <c r="B36" s="6" t="str">
        <f aca="false">'Item Catalog'!$C$36</f>
        <v>WOW 10" SLIM 1-MIC</v>
      </c>
      <c r="C36" s="6" t="n">
        <f aca="false">SUMIFS('Stock Movements'!$E:$E,'Stock Movements'!$C:$C,$A36,'Stock Movements'!$F:$F,C$2,'Stock Movements'!$D:$D,"Out")</f>
        <v>0</v>
      </c>
      <c r="D36" s="6" t="n">
        <f aca="false">SUMIFS('Stock Movements'!$E:$E,'Stock Movements'!$C:$C,$A36,'Stock Movements'!$F:$F,D$2,'Stock Movements'!$D:$D,"Out")</f>
        <v>0</v>
      </c>
      <c r="E36" s="6" t="n">
        <f aca="false">SUMIFS('Stock Movements'!$E:$E,'Stock Movements'!$C:$C,$A36,'Stock Movements'!$F:$F,E$2,'Stock Movements'!$D:$D,"Out")</f>
        <v>0</v>
      </c>
      <c r="F36" s="6" t="n">
        <f aca="false">SUMIFS('Stock Movements'!$E:$E,'Stock Movements'!$C:$C,$A36,'Stock Movements'!$F:$F,F$2,'Stock Movements'!$D:$D,"Out")</f>
        <v>0</v>
      </c>
      <c r="G36" s="6" t="n">
        <f aca="false">SUMIFS('Stock Movements'!$E:$E,'Stock Movements'!$C:$C,$A36,'Stock Movements'!$F:$F,G$2,'Stock Movements'!$D:$D,"Out")</f>
        <v>0</v>
      </c>
      <c r="H36" s="6" t="n">
        <f aca="false">SUMIFS('Stock Movements'!$E:$E,'Stock Movements'!$C:$C,$A36,'Stock Movements'!$F:$F,H$2,'Stock Movements'!$D:$D,"Out")</f>
        <v>0</v>
      </c>
      <c r="I36" s="6" t="n">
        <f aca="false">SUMIFS('Stock Movements'!$E:$E,'Stock Movements'!$C:$C,$A36,'Stock Movements'!$F:$F,I$2,'Stock Movements'!$D:$D,"Out")</f>
        <v>0</v>
      </c>
      <c r="J36" s="6" t="n">
        <f aca="false">SUMIFS('Stock Movements'!$E:$E,'Stock Movements'!$C:$C,$A36,'Stock Movements'!$F:$F,J$2,'Stock Movements'!$D:$D,"Out")</f>
        <v>0</v>
      </c>
      <c r="K36" s="6" t="n">
        <f aca="false">SUMIFS('Stock Movements'!$E:$E,'Stock Movements'!$C:$C,$A36,'Stock Movements'!$F:$F,K$2,'Stock Movements'!$D:$D,"Out")</f>
        <v>0</v>
      </c>
      <c r="L36" s="6" t="n">
        <f aca="false">SUMIFS('Stock Movements'!$E:$E,'Stock Movements'!$C:$C,$A36,'Stock Movements'!$F:$F,L$2,'Stock Movements'!$D:$D,"Out")</f>
        <v>0</v>
      </c>
      <c r="M36" s="6" t="n">
        <f aca="false">SUMIFS('Stock Movements'!$E:$E,'Stock Movements'!$C:$C,$A36,'Stock Movements'!$F:$F,M$2,'Stock Movements'!$D:$D,"Out")</f>
        <v>0</v>
      </c>
      <c r="N36" s="6" t="n">
        <f aca="false">SUMIFS('Stock Movements'!$E:$E,'Stock Movements'!$C:$C,$A36,'Stock Movements'!$F:$F,N$2,'Stock Movements'!$D:$D,"Out")</f>
        <v>0</v>
      </c>
      <c r="O36" s="6" t="n">
        <f aca="false">SUMIFS('Stock Movements'!$E:$E,'Stock Movements'!$C:$C,$A36,'Stock Movements'!$F:$F,O$2,'Stock Movements'!$D:$D,"Out")</f>
        <v>0</v>
      </c>
      <c r="P36" s="6" t="n">
        <f aca="false">SUMIFS('Stock Movements'!$E:$E,'Stock Movements'!$C:$C,$A36,'Stock Movements'!$F:$F,P$2,'Stock Movements'!$D:$D,"Out")</f>
        <v>0</v>
      </c>
      <c r="Q36" s="6" t="n">
        <f aca="false">SUMIFS('Stock Movements'!$E:$E,'Stock Movements'!$C:$C,$A36,'Stock Movements'!$F:$F,Q$2,'Stock Movements'!$D:$D,"Out")</f>
        <v>0</v>
      </c>
      <c r="R36" s="6" t="n">
        <f aca="false">SUMIFS('Stock Movements'!$E:$E,'Stock Movements'!$C:$C,$A36,'Stock Movements'!$F:$F,R$2,'Stock Movements'!$D:$D,"Out")</f>
        <v>0</v>
      </c>
      <c r="S36" s="6" t="n">
        <f aca="false">SUM(C36:R36)</f>
        <v>0</v>
      </c>
      <c r="T36" s="11" t="n">
        <f aca="false">S36-'Item Catalog'!$M$36</f>
        <v>0</v>
      </c>
    </row>
    <row r="37" customFormat="false" ht="15" hidden="false" customHeight="false" outlineLevel="0" collapsed="false">
      <c r="A37" s="6" t="str">
        <f aca="false">'Item Catalog'!$B$37</f>
        <v>ITM-035 · UV LAMPS: UVC-PRO 6 GPM 14W</v>
      </c>
      <c r="B37" s="6" t="str">
        <f aca="false">'Item Catalog'!$C$37</f>
        <v>UV LAMPS: UVC-PRO 6 GPM 14W</v>
      </c>
      <c r="C37" s="6" t="n">
        <f aca="false">SUMIFS('Stock Movements'!$E:$E,'Stock Movements'!$C:$C,$A37,'Stock Movements'!$F:$F,C$2,'Stock Movements'!$D:$D,"Out")</f>
        <v>0</v>
      </c>
      <c r="D37" s="6" t="n">
        <f aca="false">SUMIFS('Stock Movements'!$E:$E,'Stock Movements'!$C:$C,$A37,'Stock Movements'!$F:$F,D$2,'Stock Movements'!$D:$D,"Out")</f>
        <v>0</v>
      </c>
      <c r="E37" s="6" t="n">
        <f aca="false">SUMIFS('Stock Movements'!$E:$E,'Stock Movements'!$C:$C,$A37,'Stock Movements'!$F:$F,E$2,'Stock Movements'!$D:$D,"Out")</f>
        <v>0</v>
      </c>
      <c r="F37" s="6" t="n">
        <f aca="false">SUMIFS('Stock Movements'!$E:$E,'Stock Movements'!$C:$C,$A37,'Stock Movements'!$F:$F,F$2,'Stock Movements'!$D:$D,"Out")</f>
        <v>0</v>
      </c>
      <c r="G37" s="6" t="n">
        <f aca="false">SUMIFS('Stock Movements'!$E:$E,'Stock Movements'!$C:$C,$A37,'Stock Movements'!$F:$F,G$2,'Stock Movements'!$D:$D,"Out")</f>
        <v>0</v>
      </c>
      <c r="H37" s="6" t="n">
        <f aca="false">SUMIFS('Stock Movements'!$E:$E,'Stock Movements'!$C:$C,$A37,'Stock Movements'!$F:$F,H$2,'Stock Movements'!$D:$D,"Out")</f>
        <v>0</v>
      </c>
      <c r="I37" s="6" t="n">
        <f aca="false">SUMIFS('Stock Movements'!$E:$E,'Stock Movements'!$C:$C,$A37,'Stock Movements'!$F:$F,I$2,'Stock Movements'!$D:$D,"Out")</f>
        <v>0</v>
      </c>
      <c r="J37" s="6" t="n">
        <f aca="false">SUMIFS('Stock Movements'!$E:$E,'Stock Movements'!$C:$C,$A37,'Stock Movements'!$F:$F,J$2,'Stock Movements'!$D:$D,"Out")</f>
        <v>0</v>
      </c>
      <c r="K37" s="6" t="n">
        <f aca="false">SUMIFS('Stock Movements'!$E:$E,'Stock Movements'!$C:$C,$A37,'Stock Movements'!$F:$F,K$2,'Stock Movements'!$D:$D,"Out")</f>
        <v>0</v>
      </c>
      <c r="L37" s="6" t="n">
        <f aca="false">SUMIFS('Stock Movements'!$E:$E,'Stock Movements'!$C:$C,$A37,'Stock Movements'!$F:$F,L$2,'Stock Movements'!$D:$D,"Out")</f>
        <v>0</v>
      </c>
      <c r="M37" s="6" t="n">
        <f aca="false">SUMIFS('Stock Movements'!$E:$E,'Stock Movements'!$C:$C,$A37,'Stock Movements'!$F:$F,M$2,'Stock Movements'!$D:$D,"Out")</f>
        <v>0</v>
      </c>
      <c r="N37" s="6" t="n">
        <f aca="false">SUMIFS('Stock Movements'!$E:$E,'Stock Movements'!$C:$C,$A37,'Stock Movements'!$F:$F,N$2,'Stock Movements'!$D:$D,"Out")</f>
        <v>0</v>
      </c>
      <c r="O37" s="6" t="n">
        <f aca="false">SUMIFS('Stock Movements'!$E:$E,'Stock Movements'!$C:$C,$A37,'Stock Movements'!$F:$F,O$2,'Stock Movements'!$D:$D,"Out")</f>
        <v>0</v>
      </c>
      <c r="P37" s="6" t="n">
        <f aca="false">SUMIFS('Stock Movements'!$E:$E,'Stock Movements'!$C:$C,$A37,'Stock Movements'!$F:$F,P$2,'Stock Movements'!$D:$D,"Out")</f>
        <v>0</v>
      </c>
      <c r="Q37" s="6" t="n">
        <f aca="false">SUMIFS('Stock Movements'!$E:$E,'Stock Movements'!$C:$C,$A37,'Stock Movements'!$F:$F,Q$2,'Stock Movements'!$D:$D,"Out")</f>
        <v>0</v>
      </c>
      <c r="R37" s="6" t="n">
        <f aca="false">SUMIFS('Stock Movements'!$E:$E,'Stock Movements'!$C:$C,$A37,'Stock Movements'!$F:$F,R$2,'Stock Movements'!$D:$D,"Out")</f>
        <v>0</v>
      </c>
      <c r="S37" s="6" t="n">
        <f aca="false">SUM(C37:R37)</f>
        <v>0</v>
      </c>
      <c r="T37" s="11" t="n">
        <f aca="false">S37-'Item Catalog'!$M$37</f>
        <v>0</v>
      </c>
    </row>
    <row r="38" customFormat="false" ht="15" hidden="false" customHeight="false" outlineLevel="0" collapsed="false">
      <c r="A38" s="6" t="str">
        <f aca="false">'Item Catalog'!$B$38</f>
        <v>ITM-036 · 350 ML PET BOTTLE (WITH CAP)</v>
      </c>
      <c r="B38" s="6" t="str">
        <f aca="false">'Item Catalog'!$C$38</f>
        <v>350 ML PET BOTTLE (WITH CAP)</v>
      </c>
      <c r="C38" s="6" t="n">
        <f aca="false">SUMIFS('Stock Movements'!$E:$E,'Stock Movements'!$C:$C,$A38,'Stock Movements'!$F:$F,C$2,'Stock Movements'!$D:$D,"Out")</f>
        <v>19</v>
      </c>
      <c r="D38" s="6" t="n">
        <f aca="false">SUMIFS('Stock Movements'!$E:$E,'Stock Movements'!$C:$C,$A38,'Stock Movements'!$F:$F,D$2,'Stock Movements'!$D:$D,"Out")</f>
        <v>0</v>
      </c>
      <c r="E38" s="6" t="n">
        <f aca="false">SUMIFS('Stock Movements'!$E:$E,'Stock Movements'!$C:$C,$A38,'Stock Movements'!$F:$F,E$2,'Stock Movements'!$D:$D,"Out")</f>
        <v>0</v>
      </c>
      <c r="F38" s="6" t="n">
        <f aca="false">SUMIFS('Stock Movements'!$E:$E,'Stock Movements'!$C:$C,$A38,'Stock Movements'!$F:$F,F$2,'Stock Movements'!$D:$D,"Out")</f>
        <v>0</v>
      </c>
      <c r="G38" s="6" t="n">
        <f aca="false">SUMIFS('Stock Movements'!$E:$E,'Stock Movements'!$C:$C,$A38,'Stock Movements'!$F:$F,G$2,'Stock Movements'!$D:$D,"Out")</f>
        <v>0</v>
      </c>
      <c r="H38" s="6" t="n">
        <f aca="false">SUMIFS('Stock Movements'!$E:$E,'Stock Movements'!$C:$C,$A38,'Stock Movements'!$F:$F,H$2,'Stock Movements'!$D:$D,"Out")</f>
        <v>0</v>
      </c>
      <c r="I38" s="6" t="n">
        <f aca="false">SUMIFS('Stock Movements'!$E:$E,'Stock Movements'!$C:$C,$A38,'Stock Movements'!$F:$F,I$2,'Stock Movements'!$D:$D,"Out")</f>
        <v>0</v>
      </c>
      <c r="J38" s="6" t="n">
        <f aca="false">SUMIFS('Stock Movements'!$E:$E,'Stock Movements'!$C:$C,$A38,'Stock Movements'!$F:$F,J$2,'Stock Movements'!$D:$D,"Out")</f>
        <v>2</v>
      </c>
      <c r="K38" s="6" t="n">
        <f aca="false">SUMIFS('Stock Movements'!$E:$E,'Stock Movements'!$C:$C,$A38,'Stock Movements'!$F:$F,K$2,'Stock Movements'!$D:$D,"Out")</f>
        <v>0</v>
      </c>
      <c r="L38" s="6" t="n">
        <f aca="false">SUMIFS('Stock Movements'!$E:$E,'Stock Movements'!$C:$C,$A38,'Stock Movements'!$F:$F,L$2,'Stock Movements'!$D:$D,"Out")</f>
        <v>0</v>
      </c>
      <c r="M38" s="6" t="n">
        <f aca="false">SUMIFS('Stock Movements'!$E:$E,'Stock Movements'!$C:$C,$A38,'Stock Movements'!$F:$F,M$2,'Stock Movements'!$D:$D,"Out")</f>
        <v>0</v>
      </c>
      <c r="N38" s="6" t="n">
        <f aca="false">SUMIFS('Stock Movements'!$E:$E,'Stock Movements'!$C:$C,$A38,'Stock Movements'!$F:$F,N$2,'Stock Movements'!$D:$D,"Out")</f>
        <v>2</v>
      </c>
      <c r="O38" s="6" t="n">
        <f aca="false">SUMIFS('Stock Movements'!$E:$E,'Stock Movements'!$C:$C,$A38,'Stock Movements'!$F:$F,O$2,'Stock Movements'!$D:$D,"Out")</f>
        <v>0</v>
      </c>
      <c r="P38" s="6" t="n">
        <f aca="false">SUMIFS('Stock Movements'!$E:$E,'Stock Movements'!$C:$C,$A38,'Stock Movements'!$F:$F,P$2,'Stock Movements'!$D:$D,"Out")</f>
        <v>0</v>
      </c>
      <c r="Q38" s="6" t="n">
        <f aca="false">SUMIFS('Stock Movements'!$E:$E,'Stock Movements'!$C:$C,$A38,'Stock Movements'!$F:$F,Q$2,'Stock Movements'!$D:$D,"Out")</f>
        <v>0</v>
      </c>
      <c r="R38" s="6" t="n">
        <f aca="false">SUMIFS('Stock Movements'!$E:$E,'Stock Movements'!$C:$C,$A38,'Stock Movements'!$F:$F,R$2,'Stock Movements'!$D:$D,"Out")</f>
        <v>0</v>
      </c>
      <c r="S38" s="6" t="n">
        <f aca="false">SUM(C38:R38)</f>
        <v>23</v>
      </c>
      <c r="T38" s="11" t="n">
        <f aca="false">S38-'Item Catalog'!$M$38</f>
        <v>0</v>
      </c>
    </row>
    <row r="39" customFormat="false" ht="15" hidden="false" customHeight="false" outlineLevel="0" collapsed="false">
      <c r="A39" s="6" t="str">
        <f aca="false">'Item Catalog'!$B$39</f>
        <v>ITM-037 · 350 ML PET BOTTLE (WITH CAP)</v>
      </c>
      <c r="B39" s="6" t="str">
        <f aca="false">'Item Catalog'!$C$39</f>
        <v>350 ML PET BOTTLE (WITH CAP)</v>
      </c>
      <c r="C39" s="6" t="n">
        <f aca="false">SUMIFS('Stock Movements'!$E:$E,'Stock Movements'!$C:$C,$A39,'Stock Movements'!$F:$F,C$2,'Stock Movements'!$D:$D,"Out")</f>
        <v>4</v>
      </c>
      <c r="D39" s="6" t="n">
        <f aca="false">SUMIFS('Stock Movements'!$E:$E,'Stock Movements'!$C:$C,$A39,'Stock Movements'!$F:$F,D$2,'Stock Movements'!$D:$D,"Out")</f>
        <v>0</v>
      </c>
      <c r="E39" s="6" t="n">
        <f aca="false">SUMIFS('Stock Movements'!$E:$E,'Stock Movements'!$C:$C,$A39,'Stock Movements'!$F:$F,E$2,'Stock Movements'!$D:$D,"Out")</f>
        <v>1</v>
      </c>
      <c r="F39" s="6" t="n">
        <f aca="false">SUMIFS('Stock Movements'!$E:$E,'Stock Movements'!$C:$C,$A39,'Stock Movements'!$F:$F,F$2,'Stock Movements'!$D:$D,"Out")</f>
        <v>0</v>
      </c>
      <c r="G39" s="6" t="n">
        <f aca="false">SUMIFS('Stock Movements'!$E:$E,'Stock Movements'!$C:$C,$A39,'Stock Movements'!$F:$F,G$2,'Stock Movements'!$D:$D,"Out")</f>
        <v>0</v>
      </c>
      <c r="H39" s="6" t="n">
        <f aca="false">SUMIFS('Stock Movements'!$E:$E,'Stock Movements'!$C:$C,$A39,'Stock Movements'!$F:$F,H$2,'Stock Movements'!$D:$D,"Out")</f>
        <v>0</v>
      </c>
      <c r="I39" s="6" t="n">
        <f aca="false">SUMIFS('Stock Movements'!$E:$E,'Stock Movements'!$C:$C,$A39,'Stock Movements'!$F:$F,I$2,'Stock Movements'!$D:$D,"Out")</f>
        <v>0</v>
      </c>
      <c r="J39" s="6" t="n">
        <f aca="false">SUMIFS('Stock Movements'!$E:$E,'Stock Movements'!$C:$C,$A39,'Stock Movements'!$F:$F,J$2,'Stock Movements'!$D:$D,"Out")</f>
        <v>9</v>
      </c>
      <c r="K39" s="6" t="n">
        <f aca="false">SUMIFS('Stock Movements'!$E:$E,'Stock Movements'!$C:$C,$A39,'Stock Movements'!$F:$F,K$2,'Stock Movements'!$D:$D,"Out")</f>
        <v>0</v>
      </c>
      <c r="L39" s="6" t="n">
        <f aca="false">SUMIFS('Stock Movements'!$E:$E,'Stock Movements'!$C:$C,$A39,'Stock Movements'!$F:$F,L$2,'Stock Movements'!$D:$D,"Out")</f>
        <v>0</v>
      </c>
      <c r="M39" s="6" t="n">
        <f aca="false">SUMIFS('Stock Movements'!$E:$E,'Stock Movements'!$C:$C,$A39,'Stock Movements'!$F:$F,M$2,'Stock Movements'!$D:$D,"Out")</f>
        <v>0</v>
      </c>
      <c r="N39" s="6" t="n">
        <f aca="false">SUMIFS('Stock Movements'!$E:$E,'Stock Movements'!$C:$C,$A39,'Stock Movements'!$F:$F,N$2,'Stock Movements'!$D:$D,"Out")</f>
        <v>1</v>
      </c>
      <c r="O39" s="6" t="n">
        <f aca="false">SUMIFS('Stock Movements'!$E:$E,'Stock Movements'!$C:$C,$A39,'Stock Movements'!$F:$F,O$2,'Stock Movements'!$D:$D,"Out")</f>
        <v>0</v>
      </c>
      <c r="P39" s="6" t="n">
        <f aca="false">SUMIFS('Stock Movements'!$E:$E,'Stock Movements'!$C:$C,$A39,'Stock Movements'!$F:$F,P$2,'Stock Movements'!$D:$D,"Out")</f>
        <v>0</v>
      </c>
      <c r="Q39" s="6" t="n">
        <f aca="false">SUMIFS('Stock Movements'!$E:$E,'Stock Movements'!$C:$C,$A39,'Stock Movements'!$F:$F,Q$2,'Stock Movements'!$D:$D,"Out")</f>
        <v>0</v>
      </c>
      <c r="R39" s="6" t="n">
        <f aca="false">SUMIFS('Stock Movements'!$E:$E,'Stock Movements'!$C:$C,$A39,'Stock Movements'!$F:$F,R$2,'Stock Movements'!$D:$D,"Out")</f>
        <v>0</v>
      </c>
      <c r="S39" s="6" t="n">
        <f aca="false">SUM(C39:R39)</f>
        <v>15</v>
      </c>
      <c r="T39" s="11" t="n">
        <f aca="false">S39-'Item Catalog'!$M$39</f>
        <v>0</v>
      </c>
    </row>
    <row r="40" customFormat="false" ht="15" hidden="false" customHeight="false" outlineLevel="0" collapsed="false">
      <c r="A40" s="6" t="str">
        <f aca="false">'Item Catalog'!$B$40</f>
        <v>ITM-038 · 500 ML PET BOTTLE (WITH CAP)</v>
      </c>
      <c r="B40" s="6" t="str">
        <f aca="false">'Item Catalog'!$C$40</f>
        <v>500 ML PET BOTTLE (WITH CAP)</v>
      </c>
      <c r="C40" s="6" t="n">
        <f aca="false">SUMIFS('Stock Movements'!$E:$E,'Stock Movements'!$C:$C,$A40,'Stock Movements'!$F:$F,C$2,'Stock Movements'!$D:$D,"Out")</f>
        <v>4</v>
      </c>
      <c r="D40" s="6" t="n">
        <f aca="false">SUMIFS('Stock Movements'!$E:$E,'Stock Movements'!$C:$C,$A40,'Stock Movements'!$F:$F,D$2,'Stock Movements'!$D:$D,"Out")</f>
        <v>0</v>
      </c>
      <c r="E40" s="6" t="n">
        <f aca="false">SUMIFS('Stock Movements'!$E:$E,'Stock Movements'!$C:$C,$A40,'Stock Movements'!$F:$F,E$2,'Stock Movements'!$D:$D,"Out")</f>
        <v>0</v>
      </c>
      <c r="F40" s="6" t="n">
        <f aca="false">SUMIFS('Stock Movements'!$E:$E,'Stock Movements'!$C:$C,$A40,'Stock Movements'!$F:$F,F$2,'Stock Movements'!$D:$D,"Out")</f>
        <v>0</v>
      </c>
      <c r="G40" s="6" t="n">
        <f aca="false">SUMIFS('Stock Movements'!$E:$E,'Stock Movements'!$C:$C,$A40,'Stock Movements'!$F:$F,G$2,'Stock Movements'!$D:$D,"Out")</f>
        <v>0</v>
      </c>
      <c r="H40" s="6" t="n">
        <f aca="false">SUMIFS('Stock Movements'!$E:$E,'Stock Movements'!$C:$C,$A40,'Stock Movements'!$F:$F,H$2,'Stock Movements'!$D:$D,"Out")</f>
        <v>0</v>
      </c>
      <c r="I40" s="6" t="n">
        <f aca="false">SUMIFS('Stock Movements'!$E:$E,'Stock Movements'!$C:$C,$A40,'Stock Movements'!$F:$F,I$2,'Stock Movements'!$D:$D,"Out")</f>
        <v>0</v>
      </c>
      <c r="J40" s="6" t="n">
        <f aca="false">SUMIFS('Stock Movements'!$E:$E,'Stock Movements'!$C:$C,$A40,'Stock Movements'!$F:$F,J$2,'Stock Movements'!$D:$D,"Out")</f>
        <v>0</v>
      </c>
      <c r="K40" s="6" t="n">
        <f aca="false">SUMIFS('Stock Movements'!$E:$E,'Stock Movements'!$C:$C,$A40,'Stock Movements'!$F:$F,K$2,'Stock Movements'!$D:$D,"Out")</f>
        <v>0</v>
      </c>
      <c r="L40" s="6" t="n">
        <f aca="false">SUMIFS('Stock Movements'!$E:$E,'Stock Movements'!$C:$C,$A40,'Stock Movements'!$F:$F,L$2,'Stock Movements'!$D:$D,"Out")</f>
        <v>0</v>
      </c>
      <c r="M40" s="6" t="n">
        <f aca="false">SUMIFS('Stock Movements'!$E:$E,'Stock Movements'!$C:$C,$A40,'Stock Movements'!$F:$F,M$2,'Stock Movements'!$D:$D,"Out")</f>
        <v>0</v>
      </c>
      <c r="N40" s="6" t="n">
        <f aca="false">SUMIFS('Stock Movements'!$E:$E,'Stock Movements'!$C:$C,$A40,'Stock Movements'!$F:$F,N$2,'Stock Movements'!$D:$D,"Out")</f>
        <v>0</v>
      </c>
      <c r="O40" s="6" t="n">
        <f aca="false">SUMIFS('Stock Movements'!$E:$E,'Stock Movements'!$C:$C,$A40,'Stock Movements'!$F:$F,O$2,'Stock Movements'!$D:$D,"Out")</f>
        <v>0</v>
      </c>
      <c r="P40" s="6" t="n">
        <f aca="false">SUMIFS('Stock Movements'!$E:$E,'Stock Movements'!$C:$C,$A40,'Stock Movements'!$F:$F,P$2,'Stock Movements'!$D:$D,"Out")</f>
        <v>0</v>
      </c>
      <c r="Q40" s="6" t="n">
        <f aca="false">SUMIFS('Stock Movements'!$E:$E,'Stock Movements'!$C:$C,$A40,'Stock Movements'!$F:$F,Q$2,'Stock Movements'!$D:$D,"Out")</f>
        <v>0</v>
      </c>
      <c r="R40" s="6" t="n">
        <f aca="false">SUMIFS('Stock Movements'!$E:$E,'Stock Movements'!$C:$C,$A40,'Stock Movements'!$F:$F,R$2,'Stock Movements'!$D:$D,"Out")</f>
        <v>0</v>
      </c>
      <c r="S40" s="6" t="n">
        <f aca="false">SUM(C40:R40)</f>
        <v>4</v>
      </c>
      <c r="T40" s="11" t="n">
        <f aca="false">S40-'Item Catalog'!$M$40</f>
        <v>0</v>
      </c>
    </row>
    <row r="41" customFormat="false" ht="15" hidden="false" customHeight="false" outlineLevel="0" collapsed="false">
      <c r="A41" s="6" t="str">
        <f aca="false">'Item Catalog'!$B$41</f>
        <v>ITM-039 · 1000 ML PET BOTTLE (WITH CAP)</v>
      </c>
      <c r="B41" s="6" t="str">
        <f aca="false">'Item Catalog'!$C$41</f>
        <v>1000 ML PET BOTTLE (WITH CAP)</v>
      </c>
      <c r="C41" s="6" t="n">
        <f aca="false">SUMIFS('Stock Movements'!$E:$E,'Stock Movements'!$C:$C,$A41,'Stock Movements'!$F:$F,C$2,'Stock Movements'!$D:$D,"Out")</f>
        <v>3</v>
      </c>
      <c r="D41" s="6" t="n">
        <f aca="false">SUMIFS('Stock Movements'!$E:$E,'Stock Movements'!$C:$C,$A41,'Stock Movements'!$F:$F,D$2,'Stock Movements'!$D:$D,"Out")</f>
        <v>0</v>
      </c>
      <c r="E41" s="6" t="n">
        <f aca="false">SUMIFS('Stock Movements'!$E:$E,'Stock Movements'!$C:$C,$A41,'Stock Movements'!$F:$F,E$2,'Stock Movements'!$D:$D,"Out")</f>
        <v>0</v>
      </c>
      <c r="F41" s="6" t="n">
        <f aca="false">SUMIFS('Stock Movements'!$E:$E,'Stock Movements'!$C:$C,$A41,'Stock Movements'!$F:$F,F$2,'Stock Movements'!$D:$D,"Out")</f>
        <v>0</v>
      </c>
      <c r="G41" s="6" t="n">
        <f aca="false">SUMIFS('Stock Movements'!$E:$E,'Stock Movements'!$C:$C,$A41,'Stock Movements'!$F:$F,G$2,'Stock Movements'!$D:$D,"Out")</f>
        <v>0</v>
      </c>
      <c r="H41" s="6" t="n">
        <f aca="false">SUMIFS('Stock Movements'!$E:$E,'Stock Movements'!$C:$C,$A41,'Stock Movements'!$F:$F,H$2,'Stock Movements'!$D:$D,"Out")</f>
        <v>0</v>
      </c>
      <c r="I41" s="6" t="n">
        <f aca="false">SUMIFS('Stock Movements'!$E:$E,'Stock Movements'!$C:$C,$A41,'Stock Movements'!$F:$F,I$2,'Stock Movements'!$D:$D,"Out")</f>
        <v>0</v>
      </c>
      <c r="J41" s="6" t="n">
        <f aca="false">SUMIFS('Stock Movements'!$E:$E,'Stock Movements'!$C:$C,$A41,'Stock Movements'!$F:$F,J$2,'Stock Movements'!$D:$D,"Out")</f>
        <v>0</v>
      </c>
      <c r="K41" s="6" t="n">
        <f aca="false">SUMIFS('Stock Movements'!$E:$E,'Stock Movements'!$C:$C,$A41,'Stock Movements'!$F:$F,K$2,'Stock Movements'!$D:$D,"Out")</f>
        <v>0</v>
      </c>
      <c r="L41" s="6" t="n">
        <f aca="false">SUMIFS('Stock Movements'!$E:$E,'Stock Movements'!$C:$C,$A41,'Stock Movements'!$F:$F,L$2,'Stock Movements'!$D:$D,"Out")</f>
        <v>0</v>
      </c>
      <c r="M41" s="6" t="n">
        <f aca="false">SUMIFS('Stock Movements'!$E:$E,'Stock Movements'!$C:$C,$A41,'Stock Movements'!$F:$F,M$2,'Stock Movements'!$D:$D,"Out")</f>
        <v>0</v>
      </c>
      <c r="N41" s="6" t="n">
        <f aca="false">SUMIFS('Stock Movements'!$E:$E,'Stock Movements'!$C:$C,$A41,'Stock Movements'!$F:$F,N$2,'Stock Movements'!$D:$D,"Out")</f>
        <v>0</v>
      </c>
      <c r="O41" s="6" t="n">
        <f aca="false">SUMIFS('Stock Movements'!$E:$E,'Stock Movements'!$C:$C,$A41,'Stock Movements'!$F:$F,O$2,'Stock Movements'!$D:$D,"Out")</f>
        <v>0</v>
      </c>
      <c r="P41" s="6" t="n">
        <f aca="false">SUMIFS('Stock Movements'!$E:$E,'Stock Movements'!$C:$C,$A41,'Stock Movements'!$F:$F,P$2,'Stock Movements'!$D:$D,"Out")</f>
        <v>0</v>
      </c>
      <c r="Q41" s="6" t="n">
        <f aca="false">SUMIFS('Stock Movements'!$E:$E,'Stock Movements'!$C:$C,$A41,'Stock Movements'!$F:$F,Q$2,'Stock Movements'!$D:$D,"Out")</f>
        <v>0</v>
      </c>
      <c r="R41" s="6" t="n">
        <f aca="false">SUMIFS('Stock Movements'!$E:$E,'Stock Movements'!$C:$C,$A41,'Stock Movements'!$F:$F,R$2,'Stock Movements'!$D:$D,"Out")</f>
        <v>0</v>
      </c>
      <c r="S41" s="6" t="n">
        <f aca="false">SUM(C41:R41)</f>
        <v>3</v>
      </c>
      <c r="T41" s="11" t="n">
        <f aca="false">S41-'Item Catalog'!$M$41</f>
        <v>0</v>
      </c>
    </row>
    <row r="42" customFormat="false" ht="15" hidden="false" customHeight="false" outlineLevel="0" collapsed="false">
      <c r="A42" s="6" t="str">
        <f aca="false">'Item Catalog'!$B$42</f>
        <v>ITM-040 · 350 ML LABEL SHRINKABLE LW</v>
      </c>
      <c r="B42" s="6" t="str">
        <f aca="false">'Item Catalog'!$C$42</f>
        <v>350 ML LABEL SHRINKABLE LW</v>
      </c>
      <c r="C42" s="6" t="n">
        <f aca="false">SUMIFS('Stock Movements'!$E:$E,'Stock Movements'!$C:$C,$A42,'Stock Movements'!$F:$F,C$2,'Stock Movements'!$D:$D,"Out")</f>
        <v>8</v>
      </c>
      <c r="D42" s="6" t="n">
        <f aca="false">SUMIFS('Stock Movements'!$E:$E,'Stock Movements'!$C:$C,$A42,'Stock Movements'!$F:$F,D$2,'Stock Movements'!$D:$D,"Out")</f>
        <v>0</v>
      </c>
      <c r="E42" s="6" t="n">
        <f aca="false">SUMIFS('Stock Movements'!$E:$E,'Stock Movements'!$C:$C,$A42,'Stock Movements'!$F:$F,E$2,'Stock Movements'!$D:$D,"Out")</f>
        <v>0</v>
      </c>
      <c r="F42" s="6" t="n">
        <f aca="false">SUMIFS('Stock Movements'!$E:$E,'Stock Movements'!$C:$C,$A42,'Stock Movements'!$F:$F,F$2,'Stock Movements'!$D:$D,"Out")</f>
        <v>0</v>
      </c>
      <c r="G42" s="6" t="n">
        <f aca="false">SUMIFS('Stock Movements'!$E:$E,'Stock Movements'!$C:$C,$A42,'Stock Movements'!$F:$F,G$2,'Stock Movements'!$D:$D,"Out")</f>
        <v>0</v>
      </c>
      <c r="H42" s="6" t="n">
        <f aca="false">SUMIFS('Stock Movements'!$E:$E,'Stock Movements'!$C:$C,$A42,'Stock Movements'!$F:$F,H$2,'Stock Movements'!$D:$D,"Out")</f>
        <v>0</v>
      </c>
      <c r="I42" s="6" t="n">
        <f aca="false">SUMIFS('Stock Movements'!$E:$E,'Stock Movements'!$C:$C,$A42,'Stock Movements'!$F:$F,I$2,'Stock Movements'!$D:$D,"Out")</f>
        <v>0</v>
      </c>
      <c r="J42" s="6" t="n">
        <f aca="false">SUMIFS('Stock Movements'!$E:$E,'Stock Movements'!$C:$C,$A42,'Stock Movements'!$F:$F,J$2,'Stock Movements'!$D:$D,"Out")</f>
        <v>11</v>
      </c>
      <c r="K42" s="6" t="n">
        <f aca="false">SUMIFS('Stock Movements'!$E:$E,'Stock Movements'!$C:$C,$A42,'Stock Movements'!$F:$F,K$2,'Stock Movements'!$D:$D,"Out")</f>
        <v>0</v>
      </c>
      <c r="L42" s="6" t="n">
        <f aca="false">SUMIFS('Stock Movements'!$E:$E,'Stock Movements'!$C:$C,$A42,'Stock Movements'!$F:$F,L$2,'Stock Movements'!$D:$D,"Out")</f>
        <v>0</v>
      </c>
      <c r="M42" s="6" t="n">
        <f aca="false">SUMIFS('Stock Movements'!$E:$E,'Stock Movements'!$C:$C,$A42,'Stock Movements'!$F:$F,M$2,'Stock Movements'!$D:$D,"Out")</f>
        <v>0</v>
      </c>
      <c r="N42" s="6" t="n">
        <f aca="false">SUMIFS('Stock Movements'!$E:$E,'Stock Movements'!$C:$C,$A42,'Stock Movements'!$F:$F,N$2,'Stock Movements'!$D:$D,"Out")</f>
        <v>0</v>
      </c>
      <c r="O42" s="6" t="n">
        <f aca="false">SUMIFS('Stock Movements'!$E:$E,'Stock Movements'!$C:$C,$A42,'Stock Movements'!$F:$F,O$2,'Stock Movements'!$D:$D,"Out")</f>
        <v>0</v>
      </c>
      <c r="P42" s="6" t="n">
        <f aca="false">SUMIFS('Stock Movements'!$E:$E,'Stock Movements'!$C:$C,$A42,'Stock Movements'!$F:$F,P$2,'Stock Movements'!$D:$D,"Out")</f>
        <v>0</v>
      </c>
      <c r="Q42" s="6" t="n">
        <f aca="false">SUMIFS('Stock Movements'!$E:$E,'Stock Movements'!$C:$C,$A42,'Stock Movements'!$F:$F,Q$2,'Stock Movements'!$D:$D,"Out")</f>
        <v>0</v>
      </c>
      <c r="R42" s="6" t="n">
        <f aca="false">SUMIFS('Stock Movements'!$E:$E,'Stock Movements'!$C:$C,$A42,'Stock Movements'!$F:$F,R$2,'Stock Movements'!$D:$D,"Out")</f>
        <v>0</v>
      </c>
      <c r="S42" s="6" t="n">
        <f aca="false">SUM(C42:R42)</f>
        <v>19</v>
      </c>
      <c r="T42" s="11" t="n">
        <f aca="false">S42-'Item Catalog'!$M$42</f>
        <v>0</v>
      </c>
    </row>
    <row r="43" customFormat="false" ht="15" hidden="false" customHeight="false" outlineLevel="0" collapsed="false">
      <c r="A43" s="6" t="str">
        <f aca="false">'Item Catalog'!$B$43</f>
        <v>ITM-041 · 500 ML LABEL SHRINKABLE LW</v>
      </c>
      <c r="B43" s="6" t="str">
        <f aca="false">'Item Catalog'!$C$43</f>
        <v>500 ML LABEL SHRINKABLE LW</v>
      </c>
      <c r="C43" s="6" t="n">
        <f aca="false">SUMIFS('Stock Movements'!$E:$E,'Stock Movements'!$C:$C,$A43,'Stock Movements'!$F:$F,C$2,'Stock Movements'!$D:$D,"Out")</f>
        <v>0</v>
      </c>
      <c r="D43" s="6" t="n">
        <f aca="false">SUMIFS('Stock Movements'!$E:$E,'Stock Movements'!$C:$C,$A43,'Stock Movements'!$F:$F,D$2,'Stock Movements'!$D:$D,"Out")</f>
        <v>0</v>
      </c>
      <c r="E43" s="6" t="n">
        <f aca="false">SUMIFS('Stock Movements'!$E:$E,'Stock Movements'!$C:$C,$A43,'Stock Movements'!$F:$F,E$2,'Stock Movements'!$D:$D,"Out")</f>
        <v>0</v>
      </c>
      <c r="F43" s="6" t="n">
        <f aca="false">SUMIFS('Stock Movements'!$E:$E,'Stock Movements'!$C:$C,$A43,'Stock Movements'!$F:$F,F$2,'Stock Movements'!$D:$D,"Out")</f>
        <v>0</v>
      </c>
      <c r="G43" s="6" t="n">
        <f aca="false">SUMIFS('Stock Movements'!$E:$E,'Stock Movements'!$C:$C,$A43,'Stock Movements'!$F:$F,G$2,'Stock Movements'!$D:$D,"Out")</f>
        <v>0</v>
      </c>
      <c r="H43" s="6" t="n">
        <f aca="false">SUMIFS('Stock Movements'!$E:$E,'Stock Movements'!$C:$C,$A43,'Stock Movements'!$F:$F,H$2,'Stock Movements'!$D:$D,"Out")</f>
        <v>0</v>
      </c>
      <c r="I43" s="6" t="n">
        <f aca="false">SUMIFS('Stock Movements'!$E:$E,'Stock Movements'!$C:$C,$A43,'Stock Movements'!$F:$F,I$2,'Stock Movements'!$D:$D,"Out")</f>
        <v>0</v>
      </c>
      <c r="J43" s="6" t="n">
        <f aca="false">SUMIFS('Stock Movements'!$E:$E,'Stock Movements'!$C:$C,$A43,'Stock Movements'!$F:$F,J$2,'Stock Movements'!$D:$D,"Out")</f>
        <v>0</v>
      </c>
      <c r="K43" s="6" t="n">
        <f aca="false">SUMIFS('Stock Movements'!$E:$E,'Stock Movements'!$C:$C,$A43,'Stock Movements'!$F:$F,K$2,'Stock Movements'!$D:$D,"Out")</f>
        <v>0</v>
      </c>
      <c r="L43" s="6" t="n">
        <f aca="false">SUMIFS('Stock Movements'!$E:$E,'Stock Movements'!$C:$C,$A43,'Stock Movements'!$F:$F,L$2,'Stock Movements'!$D:$D,"Out")</f>
        <v>0</v>
      </c>
      <c r="M43" s="6" t="n">
        <f aca="false">SUMIFS('Stock Movements'!$E:$E,'Stock Movements'!$C:$C,$A43,'Stock Movements'!$F:$F,M$2,'Stock Movements'!$D:$D,"Out")</f>
        <v>0</v>
      </c>
      <c r="N43" s="6" t="n">
        <f aca="false">SUMIFS('Stock Movements'!$E:$E,'Stock Movements'!$C:$C,$A43,'Stock Movements'!$F:$F,N$2,'Stock Movements'!$D:$D,"Out")</f>
        <v>0</v>
      </c>
      <c r="O43" s="6" t="n">
        <f aca="false">SUMIFS('Stock Movements'!$E:$E,'Stock Movements'!$C:$C,$A43,'Stock Movements'!$F:$F,O$2,'Stock Movements'!$D:$D,"Out")</f>
        <v>0</v>
      </c>
      <c r="P43" s="6" t="n">
        <f aca="false">SUMIFS('Stock Movements'!$E:$E,'Stock Movements'!$C:$C,$A43,'Stock Movements'!$F:$F,P$2,'Stock Movements'!$D:$D,"Out")</f>
        <v>0</v>
      </c>
      <c r="Q43" s="6" t="n">
        <f aca="false">SUMIFS('Stock Movements'!$E:$E,'Stock Movements'!$C:$C,$A43,'Stock Movements'!$F:$F,Q$2,'Stock Movements'!$D:$D,"Out")</f>
        <v>0</v>
      </c>
      <c r="R43" s="6" t="n">
        <f aca="false">SUMIFS('Stock Movements'!$E:$E,'Stock Movements'!$C:$C,$A43,'Stock Movements'!$F:$F,R$2,'Stock Movements'!$D:$D,"Out")</f>
        <v>0</v>
      </c>
      <c r="S43" s="6" t="n">
        <f aca="false">SUM(C43:R43)</f>
        <v>0</v>
      </c>
      <c r="T43" s="11" t="n">
        <f aca="false">S43-'Item Catalog'!$M$43</f>
        <v>0</v>
      </c>
    </row>
    <row r="44" customFormat="false" ht="15" hidden="false" customHeight="false" outlineLevel="0" collapsed="false">
      <c r="A44" s="6" t="str">
        <f aca="false">'Item Catalog'!$B$44</f>
        <v>ITM-042 · 1000 ML LABEL SHRINKABLE LW</v>
      </c>
      <c r="B44" s="6" t="str">
        <f aca="false">'Item Catalog'!$C$44</f>
        <v>1000 ML LABEL SHRINKABLE LW</v>
      </c>
      <c r="C44" s="6" t="n">
        <f aca="false">SUMIFS('Stock Movements'!$E:$E,'Stock Movements'!$C:$C,$A44,'Stock Movements'!$F:$F,C$2,'Stock Movements'!$D:$D,"Out")</f>
        <v>1</v>
      </c>
      <c r="D44" s="6" t="n">
        <f aca="false">SUMIFS('Stock Movements'!$E:$E,'Stock Movements'!$C:$C,$A44,'Stock Movements'!$F:$F,D$2,'Stock Movements'!$D:$D,"Out")</f>
        <v>0</v>
      </c>
      <c r="E44" s="6" t="n">
        <f aca="false">SUMIFS('Stock Movements'!$E:$E,'Stock Movements'!$C:$C,$A44,'Stock Movements'!$F:$F,E$2,'Stock Movements'!$D:$D,"Out")</f>
        <v>0</v>
      </c>
      <c r="F44" s="6" t="n">
        <f aca="false">SUMIFS('Stock Movements'!$E:$E,'Stock Movements'!$C:$C,$A44,'Stock Movements'!$F:$F,F$2,'Stock Movements'!$D:$D,"Out")</f>
        <v>0</v>
      </c>
      <c r="G44" s="6" t="n">
        <f aca="false">SUMIFS('Stock Movements'!$E:$E,'Stock Movements'!$C:$C,$A44,'Stock Movements'!$F:$F,G$2,'Stock Movements'!$D:$D,"Out")</f>
        <v>0</v>
      </c>
      <c r="H44" s="6" t="n">
        <f aca="false">SUMIFS('Stock Movements'!$E:$E,'Stock Movements'!$C:$C,$A44,'Stock Movements'!$F:$F,H$2,'Stock Movements'!$D:$D,"Out")</f>
        <v>0</v>
      </c>
      <c r="I44" s="6" t="n">
        <f aca="false">SUMIFS('Stock Movements'!$E:$E,'Stock Movements'!$C:$C,$A44,'Stock Movements'!$F:$F,I$2,'Stock Movements'!$D:$D,"Out")</f>
        <v>0</v>
      </c>
      <c r="J44" s="6" t="n">
        <f aca="false">SUMIFS('Stock Movements'!$E:$E,'Stock Movements'!$C:$C,$A44,'Stock Movements'!$F:$F,J$2,'Stock Movements'!$D:$D,"Out")</f>
        <v>0</v>
      </c>
      <c r="K44" s="6" t="n">
        <f aca="false">SUMIFS('Stock Movements'!$E:$E,'Stock Movements'!$C:$C,$A44,'Stock Movements'!$F:$F,K$2,'Stock Movements'!$D:$D,"Out")</f>
        <v>0</v>
      </c>
      <c r="L44" s="6" t="n">
        <f aca="false">SUMIFS('Stock Movements'!$E:$E,'Stock Movements'!$C:$C,$A44,'Stock Movements'!$F:$F,L$2,'Stock Movements'!$D:$D,"Out")</f>
        <v>0</v>
      </c>
      <c r="M44" s="6" t="n">
        <f aca="false">SUMIFS('Stock Movements'!$E:$E,'Stock Movements'!$C:$C,$A44,'Stock Movements'!$F:$F,M$2,'Stock Movements'!$D:$D,"Out")</f>
        <v>0</v>
      </c>
      <c r="N44" s="6" t="n">
        <f aca="false">SUMIFS('Stock Movements'!$E:$E,'Stock Movements'!$C:$C,$A44,'Stock Movements'!$F:$F,N$2,'Stock Movements'!$D:$D,"Out")</f>
        <v>0</v>
      </c>
      <c r="O44" s="6" t="n">
        <f aca="false">SUMIFS('Stock Movements'!$E:$E,'Stock Movements'!$C:$C,$A44,'Stock Movements'!$F:$F,O$2,'Stock Movements'!$D:$D,"Out")</f>
        <v>0</v>
      </c>
      <c r="P44" s="6" t="n">
        <f aca="false">SUMIFS('Stock Movements'!$E:$E,'Stock Movements'!$C:$C,$A44,'Stock Movements'!$F:$F,P$2,'Stock Movements'!$D:$D,"Out")</f>
        <v>0</v>
      </c>
      <c r="Q44" s="6" t="n">
        <f aca="false">SUMIFS('Stock Movements'!$E:$E,'Stock Movements'!$C:$C,$A44,'Stock Movements'!$F:$F,Q$2,'Stock Movements'!$D:$D,"Out")</f>
        <v>0</v>
      </c>
      <c r="R44" s="6" t="n">
        <f aca="false">SUMIFS('Stock Movements'!$E:$E,'Stock Movements'!$C:$C,$A44,'Stock Movements'!$F:$F,R$2,'Stock Movements'!$D:$D,"Out")</f>
        <v>0</v>
      </c>
      <c r="S44" s="6" t="n">
        <f aca="false">SUM(C44:R44)</f>
        <v>1</v>
      </c>
      <c r="T44" s="11" t="n">
        <f aca="false">S44-'Item Catalog'!$M$44</f>
        <v>0</v>
      </c>
    </row>
    <row r="45" customFormat="false" ht="15" hidden="false" customHeight="false" outlineLevel="0" collapsed="false">
      <c r="A45" s="6" t="str">
        <f aca="false">'Item Catalog'!$B$45</f>
        <v>ITM-043 · 350 ML LABEL SHRINKABLE REFRESHING</v>
      </c>
      <c r="B45" s="6" t="str">
        <f aca="false">'Item Catalog'!$C$45</f>
        <v>350 ML LABEL SHRINKABLE REFRESHING</v>
      </c>
      <c r="C45" s="6" t="n">
        <f aca="false">SUMIFS('Stock Movements'!$E:$E,'Stock Movements'!$C:$C,$A45,'Stock Movements'!$F:$F,C$2,'Stock Movements'!$D:$D,"Out")</f>
        <v>0</v>
      </c>
      <c r="D45" s="6" t="n">
        <f aca="false">SUMIFS('Stock Movements'!$E:$E,'Stock Movements'!$C:$C,$A45,'Stock Movements'!$F:$F,D$2,'Stock Movements'!$D:$D,"Out")</f>
        <v>0</v>
      </c>
      <c r="E45" s="6" t="n">
        <f aca="false">SUMIFS('Stock Movements'!$E:$E,'Stock Movements'!$C:$C,$A45,'Stock Movements'!$F:$F,E$2,'Stock Movements'!$D:$D,"Out")</f>
        <v>0</v>
      </c>
      <c r="F45" s="6" t="n">
        <f aca="false">SUMIFS('Stock Movements'!$E:$E,'Stock Movements'!$C:$C,$A45,'Stock Movements'!$F:$F,F$2,'Stock Movements'!$D:$D,"Out")</f>
        <v>0</v>
      </c>
      <c r="G45" s="6" t="n">
        <f aca="false">SUMIFS('Stock Movements'!$E:$E,'Stock Movements'!$C:$C,$A45,'Stock Movements'!$F:$F,G$2,'Stock Movements'!$D:$D,"Out")</f>
        <v>0</v>
      </c>
      <c r="H45" s="6" t="n">
        <f aca="false">SUMIFS('Stock Movements'!$E:$E,'Stock Movements'!$C:$C,$A45,'Stock Movements'!$F:$F,H$2,'Stock Movements'!$D:$D,"Out")</f>
        <v>0</v>
      </c>
      <c r="I45" s="6" t="n">
        <f aca="false">SUMIFS('Stock Movements'!$E:$E,'Stock Movements'!$C:$C,$A45,'Stock Movements'!$F:$F,I$2,'Stock Movements'!$D:$D,"Out")</f>
        <v>0</v>
      </c>
      <c r="J45" s="6" t="n">
        <f aca="false">SUMIFS('Stock Movements'!$E:$E,'Stock Movements'!$C:$C,$A45,'Stock Movements'!$F:$F,J$2,'Stock Movements'!$D:$D,"Out")</f>
        <v>0</v>
      </c>
      <c r="K45" s="6" t="n">
        <f aca="false">SUMIFS('Stock Movements'!$E:$E,'Stock Movements'!$C:$C,$A45,'Stock Movements'!$F:$F,K$2,'Stock Movements'!$D:$D,"Out")</f>
        <v>0</v>
      </c>
      <c r="L45" s="6" t="n">
        <f aca="false">SUMIFS('Stock Movements'!$E:$E,'Stock Movements'!$C:$C,$A45,'Stock Movements'!$F:$F,L$2,'Stock Movements'!$D:$D,"Out")</f>
        <v>0</v>
      </c>
      <c r="M45" s="6" t="n">
        <f aca="false">SUMIFS('Stock Movements'!$E:$E,'Stock Movements'!$C:$C,$A45,'Stock Movements'!$F:$F,M$2,'Stock Movements'!$D:$D,"Out")</f>
        <v>0</v>
      </c>
      <c r="N45" s="6" t="n">
        <f aca="false">SUMIFS('Stock Movements'!$E:$E,'Stock Movements'!$C:$C,$A45,'Stock Movements'!$F:$F,N$2,'Stock Movements'!$D:$D,"Out")</f>
        <v>2</v>
      </c>
      <c r="O45" s="6" t="n">
        <f aca="false">SUMIFS('Stock Movements'!$E:$E,'Stock Movements'!$C:$C,$A45,'Stock Movements'!$F:$F,O$2,'Stock Movements'!$D:$D,"Out")</f>
        <v>0</v>
      </c>
      <c r="P45" s="6" t="n">
        <f aca="false">SUMIFS('Stock Movements'!$E:$E,'Stock Movements'!$C:$C,$A45,'Stock Movements'!$F:$F,P$2,'Stock Movements'!$D:$D,"Out")</f>
        <v>0</v>
      </c>
      <c r="Q45" s="6" t="n">
        <f aca="false">SUMIFS('Stock Movements'!$E:$E,'Stock Movements'!$C:$C,$A45,'Stock Movements'!$F:$F,Q$2,'Stock Movements'!$D:$D,"Out")</f>
        <v>0</v>
      </c>
      <c r="R45" s="6" t="n">
        <f aca="false">SUMIFS('Stock Movements'!$E:$E,'Stock Movements'!$C:$C,$A45,'Stock Movements'!$F:$F,R$2,'Stock Movements'!$D:$D,"Out")</f>
        <v>0</v>
      </c>
      <c r="S45" s="6" t="n">
        <f aca="false">SUM(C45:R45)</f>
        <v>2</v>
      </c>
      <c r="T45" s="11" t="n">
        <f aca="false">S45-'Item Catalog'!$M$45</f>
        <v>0</v>
      </c>
    </row>
    <row r="46" customFormat="false" ht="15" hidden="false" customHeight="false" outlineLevel="0" collapsed="false">
      <c r="A46" s="6" t="str">
        <f aca="false">'Item Catalog'!$B$46</f>
        <v>ITM-044 · 500 ML LABEL SHRINKABLE REFRESHING</v>
      </c>
      <c r="B46" s="6" t="str">
        <f aca="false">'Item Catalog'!$C$46</f>
        <v>500 ML LABEL SHRINKABLE REFRESHING</v>
      </c>
      <c r="C46" s="6" t="n">
        <f aca="false">SUMIFS('Stock Movements'!$E:$E,'Stock Movements'!$C:$C,$A46,'Stock Movements'!$F:$F,C$2,'Stock Movements'!$D:$D,"Out")</f>
        <v>0</v>
      </c>
      <c r="D46" s="6" t="n">
        <f aca="false">SUMIFS('Stock Movements'!$E:$E,'Stock Movements'!$C:$C,$A46,'Stock Movements'!$F:$F,D$2,'Stock Movements'!$D:$D,"Out")</f>
        <v>0</v>
      </c>
      <c r="E46" s="6" t="n">
        <f aca="false">SUMIFS('Stock Movements'!$E:$E,'Stock Movements'!$C:$C,$A46,'Stock Movements'!$F:$F,E$2,'Stock Movements'!$D:$D,"Out")</f>
        <v>0</v>
      </c>
      <c r="F46" s="6" t="n">
        <f aca="false">SUMIFS('Stock Movements'!$E:$E,'Stock Movements'!$C:$C,$A46,'Stock Movements'!$F:$F,F$2,'Stock Movements'!$D:$D,"Out")</f>
        <v>0</v>
      </c>
      <c r="G46" s="6" t="n">
        <f aca="false">SUMIFS('Stock Movements'!$E:$E,'Stock Movements'!$C:$C,$A46,'Stock Movements'!$F:$F,G$2,'Stock Movements'!$D:$D,"Out")</f>
        <v>0</v>
      </c>
      <c r="H46" s="6" t="n">
        <f aca="false">SUMIFS('Stock Movements'!$E:$E,'Stock Movements'!$C:$C,$A46,'Stock Movements'!$F:$F,H$2,'Stock Movements'!$D:$D,"Out")</f>
        <v>0</v>
      </c>
      <c r="I46" s="6" t="n">
        <f aca="false">SUMIFS('Stock Movements'!$E:$E,'Stock Movements'!$C:$C,$A46,'Stock Movements'!$F:$F,I$2,'Stock Movements'!$D:$D,"Out")</f>
        <v>0</v>
      </c>
      <c r="J46" s="6" t="n">
        <f aca="false">SUMIFS('Stock Movements'!$E:$E,'Stock Movements'!$C:$C,$A46,'Stock Movements'!$F:$F,J$2,'Stock Movements'!$D:$D,"Out")</f>
        <v>0</v>
      </c>
      <c r="K46" s="6" t="n">
        <f aca="false">SUMIFS('Stock Movements'!$E:$E,'Stock Movements'!$C:$C,$A46,'Stock Movements'!$F:$F,K$2,'Stock Movements'!$D:$D,"Out")</f>
        <v>0</v>
      </c>
      <c r="L46" s="6" t="n">
        <f aca="false">SUMIFS('Stock Movements'!$E:$E,'Stock Movements'!$C:$C,$A46,'Stock Movements'!$F:$F,L$2,'Stock Movements'!$D:$D,"Out")</f>
        <v>0</v>
      </c>
      <c r="M46" s="6" t="n">
        <f aca="false">SUMIFS('Stock Movements'!$E:$E,'Stock Movements'!$C:$C,$A46,'Stock Movements'!$F:$F,M$2,'Stock Movements'!$D:$D,"Out")</f>
        <v>0</v>
      </c>
      <c r="N46" s="6" t="n">
        <f aca="false">SUMIFS('Stock Movements'!$E:$E,'Stock Movements'!$C:$C,$A46,'Stock Movements'!$F:$F,N$2,'Stock Movements'!$D:$D,"Out")</f>
        <v>0</v>
      </c>
      <c r="O46" s="6" t="n">
        <f aca="false">SUMIFS('Stock Movements'!$E:$E,'Stock Movements'!$C:$C,$A46,'Stock Movements'!$F:$F,O$2,'Stock Movements'!$D:$D,"Out")</f>
        <v>0</v>
      </c>
      <c r="P46" s="6" t="n">
        <f aca="false">SUMIFS('Stock Movements'!$E:$E,'Stock Movements'!$C:$C,$A46,'Stock Movements'!$F:$F,P$2,'Stock Movements'!$D:$D,"Out")</f>
        <v>0</v>
      </c>
      <c r="Q46" s="6" t="n">
        <f aca="false">SUMIFS('Stock Movements'!$E:$E,'Stock Movements'!$C:$C,$A46,'Stock Movements'!$F:$F,Q$2,'Stock Movements'!$D:$D,"Out")</f>
        <v>0</v>
      </c>
      <c r="R46" s="6" t="n">
        <f aca="false">SUMIFS('Stock Movements'!$E:$E,'Stock Movements'!$C:$C,$A46,'Stock Movements'!$F:$F,R$2,'Stock Movements'!$D:$D,"Out")</f>
        <v>0</v>
      </c>
      <c r="S46" s="6" t="n">
        <f aca="false">SUM(C46:R46)</f>
        <v>0</v>
      </c>
      <c r="T46" s="11" t="n">
        <f aca="false">S46-'Item Catalog'!$M$46</f>
        <v>0</v>
      </c>
    </row>
    <row r="47" customFormat="false" ht="15" hidden="false" customHeight="false" outlineLevel="0" collapsed="false">
      <c r="A47" s="6" t="str">
        <f aca="false">'Item Catalog'!$B$47</f>
        <v>ITM-045 · STICKER LW WITH PIOLO - 5 GAL 6X4</v>
      </c>
      <c r="B47" s="6" t="str">
        <f aca="false">'Item Catalog'!$C$47</f>
        <v>STICKER LW WITH PIOLO - 5 GAL 6X4</v>
      </c>
      <c r="C47" s="6" t="n">
        <f aca="false">SUMIFS('Stock Movements'!$E:$E,'Stock Movements'!$C:$C,$A47,'Stock Movements'!$F:$F,C$2,'Stock Movements'!$D:$D,"Out")</f>
        <v>2</v>
      </c>
      <c r="D47" s="6" t="n">
        <f aca="false">SUMIFS('Stock Movements'!$E:$E,'Stock Movements'!$C:$C,$A47,'Stock Movements'!$F:$F,D$2,'Stock Movements'!$D:$D,"Out")</f>
        <v>0</v>
      </c>
      <c r="E47" s="6" t="n">
        <f aca="false">SUMIFS('Stock Movements'!$E:$E,'Stock Movements'!$C:$C,$A47,'Stock Movements'!$F:$F,E$2,'Stock Movements'!$D:$D,"Out")</f>
        <v>0</v>
      </c>
      <c r="F47" s="6" t="n">
        <f aca="false">SUMIFS('Stock Movements'!$E:$E,'Stock Movements'!$C:$C,$A47,'Stock Movements'!$F:$F,F$2,'Stock Movements'!$D:$D,"Out")</f>
        <v>0</v>
      </c>
      <c r="G47" s="6" t="n">
        <f aca="false">SUMIFS('Stock Movements'!$E:$E,'Stock Movements'!$C:$C,$A47,'Stock Movements'!$F:$F,G$2,'Stock Movements'!$D:$D,"Out")</f>
        <v>0</v>
      </c>
      <c r="H47" s="6" t="n">
        <f aca="false">SUMIFS('Stock Movements'!$E:$E,'Stock Movements'!$C:$C,$A47,'Stock Movements'!$F:$F,H$2,'Stock Movements'!$D:$D,"Out")</f>
        <v>0</v>
      </c>
      <c r="I47" s="6" t="n">
        <f aca="false">SUMIFS('Stock Movements'!$E:$E,'Stock Movements'!$C:$C,$A47,'Stock Movements'!$F:$F,I$2,'Stock Movements'!$D:$D,"Out")</f>
        <v>0</v>
      </c>
      <c r="J47" s="6" t="n">
        <f aca="false">SUMIFS('Stock Movements'!$E:$E,'Stock Movements'!$C:$C,$A47,'Stock Movements'!$F:$F,J$2,'Stock Movements'!$D:$D,"Out")</f>
        <v>0</v>
      </c>
      <c r="K47" s="6" t="n">
        <f aca="false">SUMIFS('Stock Movements'!$E:$E,'Stock Movements'!$C:$C,$A47,'Stock Movements'!$F:$F,K$2,'Stock Movements'!$D:$D,"Out")</f>
        <v>0</v>
      </c>
      <c r="L47" s="6" t="n">
        <f aca="false">SUMIFS('Stock Movements'!$E:$E,'Stock Movements'!$C:$C,$A47,'Stock Movements'!$F:$F,L$2,'Stock Movements'!$D:$D,"Out")</f>
        <v>0</v>
      </c>
      <c r="M47" s="6" t="n">
        <f aca="false">SUMIFS('Stock Movements'!$E:$E,'Stock Movements'!$C:$C,$A47,'Stock Movements'!$F:$F,M$2,'Stock Movements'!$D:$D,"Out")</f>
        <v>0</v>
      </c>
      <c r="N47" s="6" t="n">
        <f aca="false">SUMIFS('Stock Movements'!$E:$E,'Stock Movements'!$C:$C,$A47,'Stock Movements'!$F:$F,N$2,'Stock Movements'!$D:$D,"Out")</f>
        <v>0</v>
      </c>
      <c r="O47" s="6" t="n">
        <f aca="false">SUMIFS('Stock Movements'!$E:$E,'Stock Movements'!$C:$C,$A47,'Stock Movements'!$F:$F,O$2,'Stock Movements'!$D:$D,"Out")</f>
        <v>0</v>
      </c>
      <c r="P47" s="6" t="n">
        <f aca="false">SUMIFS('Stock Movements'!$E:$E,'Stock Movements'!$C:$C,$A47,'Stock Movements'!$F:$F,P$2,'Stock Movements'!$D:$D,"Out")</f>
        <v>0</v>
      </c>
      <c r="Q47" s="6" t="n">
        <f aca="false">SUMIFS('Stock Movements'!$E:$E,'Stock Movements'!$C:$C,$A47,'Stock Movements'!$F:$F,Q$2,'Stock Movements'!$D:$D,"Out")</f>
        <v>0</v>
      </c>
      <c r="R47" s="6" t="n">
        <f aca="false">SUMIFS('Stock Movements'!$E:$E,'Stock Movements'!$C:$C,$A47,'Stock Movements'!$F:$F,R$2,'Stock Movements'!$D:$D,"Out")</f>
        <v>0</v>
      </c>
      <c r="S47" s="6" t="n">
        <f aca="false">SUM(C47:R47)</f>
        <v>2</v>
      </c>
      <c r="T47" s="11" t="n">
        <f aca="false">S47-'Item Catalog'!$M$47</f>
        <v>0</v>
      </c>
    </row>
    <row r="48" customFormat="false" ht="15" hidden="false" customHeight="false" outlineLevel="0" collapsed="false">
      <c r="A48" s="6" t="str">
        <f aca="false">'Item Catalog'!$B$48</f>
        <v>ITM-046 · BIG CAP REPLACEMENT - 5 GAL SLIM</v>
      </c>
      <c r="B48" s="6" t="str">
        <f aca="false">'Item Catalog'!$C$48</f>
        <v>BIG CAP REPLACEMENT - 5 GAL SLIM</v>
      </c>
      <c r="C48" s="6" t="n">
        <f aca="false">SUMIFS('Stock Movements'!$E:$E,'Stock Movements'!$C:$C,$A48,'Stock Movements'!$F:$F,C$2,'Stock Movements'!$D:$D,"Out")</f>
        <v>23</v>
      </c>
      <c r="D48" s="6" t="n">
        <f aca="false">SUMIFS('Stock Movements'!$E:$E,'Stock Movements'!$C:$C,$A48,'Stock Movements'!$F:$F,D$2,'Stock Movements'!$D:$D,"Out")</f>
        <v>6</v>
      </c>
      <c r="E48" s="6" t="n">
        <f aca="false">SUMIFS('Stock Movements'!$E:$E,'Stock Movements'!$C:$C,$A48,'Stock Movements'!$F:$F,E$2,'Stock Movements'!$D:$D,"Out")</f>
        <v>0</v>
      </c>
      <c r="F48" s="6" t="n">
        <f aca="false">SUMIFS('Stock Movements'!$E:$E,'Stock Movements'!$C:$C,$A48,'Stock Movements'!$F:$F,F$2,'Stock Movements'!$D:$D,"Out")</f>
        <v>0</v>
      </c>
      <c r="G48" s="6" t="n">
        <f aca="false">SUMIFS('Stock Movements'!$E:$E,'Stock Movements'!$C:$C,$A48,'Stock Movements'!$F:$F,G$2,'Stock Movements'!$D:$D,"Out")</f>
        <v>55</v>
      </c>
      <c r="H48" s="6" t="n">
        <f aca="false">SUMIFS('Stock Movements'!$E:$E,'Stock Movements'!$C:$C,$A48,'Stock Movements'!$F:$F,H$2,'Stock Movements'!$D:$D,"Out")</f>
        <v>0</v>
      </c>
      <c r="I48" s="6" t="n">
        <f aca="false">SUMIFS('Stock Movements'!$E:$E,'Stock Movements'!$C:$C,$A48,'Stock Movements'!$F:$F,I$2,'Stock Movements'!$D:$D,"Out")</f>
        <v>100</v>
      </c>
      <c r="J48" s="6" t="n">
        <f aca="false">SUMIFS('Stock Movements'!$E:$E,'Stock Movements'!$C:$C,$A48,'Stock Movements'!$F:$F,J$2,'Stock Movements'!$D:$D,"Out")</f>
        <v>20</v>
      </c>
      <c r="K48" s="6" t="n">
        <f aca="false">SUMIFS('Stock Movements'!$E:$E,'Stock Movements'!$C:$C,$A48,'Stock Movements'!$F:$F,K$2,'Stock Movements'!$D:$D,"Out")</f>
        <v>0</v>
      </c>
      <c r="L48" s="6" t="n">
        <f aca="false">SUMIFS('Stock Movements'!$E:$E,'Stock Movements'!$C:$C,$A48,'Stock Movements'!$F:$F,L$2,'Stock Movements'!$D:$D,"Out")</f>
        <v>55</v>
      </c>
      <c r="M48" s="6" t="n">
        <f aca="false">SUMIFS('Stock Movements'!$E:$E,'Stock Movements'!$C:$C,$A48,'Stock Movements'!$F:$F,M$2,'Stock Movements'!$D:$D,"Out")</f>
        <v>0</v>
      </c>
      <c r="N48" s="6" t="n">
        <f aca="false">SUMIFS('Stock Movements'!$E:$E,'Stock Movements'!$C:$C,$A48,'Stock Movements'!$F:$F,N$2,'Stock Movements'!$D:$D,"Out")</f>
        <v>0</v>
      </c>
      <c r="O48" s="6" t="n">
        <f aca="false">SUMIFS('Stock Movements'!$E:$E,'Stock Movements'!$C:$C,$A48,'Stock Movements'!$F:$F,O$2,'Stock Movements'!$D:$D,"Out")</f>
        <v>0</v>
      </c>
      <c r="P48" s="6" t="n">
        <f aca="false">SUMIFS('Stock Movements'!$E:$E,'Stock Movements'!$C:$C,$A48,'Stock Movements'!$F:$F,P$2,'Stock Movements'!$D:$D,"Out")</f>
        <v>0</v>
      </c>
      <c r="Q48" s="6" t="n">
        <f aca="false">SUMIFS('Stock Movements'!$E:$E,'Stock Movements'!$C:$C,$A48,'Stock Movements'!$F:$F,Q$2,'Stock Movements'!$D:$D,"Out")</f>
        <v>0</v>
      </c>
      <c r="R48" s="6" t="n">
        <f aca="false">SUMIFS('Stock Movements'!$E:$E,'Stock Movements'!$C:$C,$A48,'Stock Movements'!$F:$F,R$2,'Stock Movements'!$D:$D,"Out")</f>
        <v>0</v>
      </c>
      <c r="S48" s="6" t="n">
        <f aca="false">SUM(C48:R48)</f>
        <v>259</v>
      </c>
      <c r="T48" s="11" t="n">
        <f aca="false">S48-'Item Catalog'!$M$48</f>
        <v>0</v>
      </c>
    </row>
    <row r="49" customFormat="false" ht="15" hidden="false" customHeight="false" outlineLevel="0" collapsed="false">
      <c r="A49" s="6" t="str">
        <f aca="false">'Item Catalog'!$B$49</f>
        <v>ITM-047 · SMALL CAP REPLACEMENT - 5 GAL SLIM</v>
      </c>
      <c r="B49" s="6" t="str">
        <f aca="false">'Item Catalog'!$C$49</f>
        <v>SMALL CAP REPLACEMENT - 5 GAL SLIM</v>
      </c>
      <c r="C49" s="6" t="n">
        <f aca="false">SUMIFS('Stock Movements'!$E:$E,'Stock Movements'!$C:$C,$A49,'Stock Movements'!$F:$F,C$2,'Stock Movements'!$D:$D,"Out")</f>
        <v>46</v>
      </c>
      <c r="D49" s="6" t="n">
        <f aca="false">SUMIFS('Stock Movements'!$E:$E,'Stock Movements'!$C:$C,$A49,'Stock Movements'!$F:$F,D$2,'Stock Movements'!$D:$D,"Out")</f>
        <v>0</v>
      </c>
      <c r="E49" s="6" t="n">
        <f aca="false">SUMIFS('Stock Movements'!$E:$E,'Stock Movements'!$C:$C,$A49,'Stock Movements'!$F:$F,E$2,'Stock Movements'!$D:$D,"Out")</f>
        <v>0</v>
      </c>
      <c r="F49" s="6" t="n">
        <f aca="false">SUMIFS('Stock Movements'!$E:$E,'Stock Movements'!$C:$C,$A49,'Stock Movements'!$F:$F,F$2,'Stock Movements'!$D:$D,"Out")</f>
        <v>0</v>
      </c>
      <c r="G49" s="6" t="n">
        <f aca="false">SUMIFS('Stock Movements'!$E:$E,'Stock Movements'!$C:$C,$A49,'Stock Movements'!$F:$F,G$2,'Stock Movements'!$D:$D,"Out")</f>
        <v>175</v>
      </c>
      <c r="H49" s="6" t="n">
        <f aca="false">SUMIFS('Stock Movements'!$E:$E,'Stock Movements'!$C:$C,$A49,'Stock Movements'!$F:$F,H$2,'Stock Movements'!$D:$D,"Out")</f>
        <v>0</v>
      </c>
      <c r="I49" s="6" t="n">
        <f aca="false">SUMIFS('Stock Movements'!$E:$E,'Stock Movements'!$C:$C,$A49,'Stock Movements'!$F:$F,I$2,'Stock Movements'!$D:$D,"Out")</f>
        <v>100</v>
      </c>
      <c r="J49" s="6" t="n">
        <f aca="false">SUMIFS('Stock Movements'!$E:$E,'Stock Movements'!$C:$C,$A49,'Stock Movements'!$F:$F,J$2,'Stock Movements'!$D:$D,"Out")</f>
        <v>20</v>
      </c>
      <c r="K49" s="6" t="n">
        <f aca="false">SUMIFS('Stock Movements'!$E:$E,'Stock Movements'!$C:$C,$A49,'Stock Movements'!$F:$F,K$2,'Stock Movements'!$D:$D,"Out")</f>
        <v>0</v>
      </c>
      <c r="L49" s="6" t="n">
        <f aca="false">SUMIFS('Stock Movements'!$E:$E,'Stock Movements'!$C:$C,$A49,'Stock Movements'!$F:$F,L$2,'Stock Movements'!$D:$D,"Out")</f>
        <v>45</v>
      </c>
      <c r="M49" s="6" t="n">
        <f aca="false">SUMIFS('Stock Movements'!$E:$E,'Stock Movements'!$C:$C,$A49,'Stock Movements'!$F:$F,M$2,'Stock Movements'!$D:$D,"Out")</f>
        <v>0</v>
      </c>
      <c r="N49" s="6" t="n">
        <f aca="false">SUMIFS('Stock Movements'!$E:$E,'Stock Movements'!$C:$C,$A49,'Stock Movements'!$F:$F,N$2,'Stock Movements'!$D:$D,"Out")</f>
        <v>0</v>
      </c>
      <c r="O49" s="6" t="n">
        <f aca="false">SUMIFS('Stock Movements'!$E:$E,'Stock Movements'!$C:$C,$A49,'Stock Movements'!$F:$F,O$2,'Stock Movements'!$D:$D,"Out")</f>
        <v>0</v>
      </c>
      <c r="P49" s="6" t="n">
        <f aca="false">SUMIFS('Stock Movements'!$E:$E,'Stock Movements'!$C:$C,$A49,'Stock Movements'!$F:$F,P$2,'Stock Movements'!$D:$D,"Out")</f>
        <v>0</v>
      </c>
      <c r="Q49" s="6" t="n">
        <f aca="false">SUMIFS('Stock Movements'!$E:$E,'Stock Movements'!$C:$C,$A49,'Stock Movements'!$F:$F,Q$2,'Stock Movements'!$D:$D,"Out")</f>
        <v>3</v>
      </c>
      <c r="R49" s="6" t="n">
        <f aca="false">SUMIFS('Stock Movements'!$E:$E,'Stock Movements'!$C:$C,$A49,'Stock Movements'!$F:$F,R$2,'Stock Movements'!$D:$D,"Out")</f>
        <v>0</v>
      </c>
      <c r="S49" s="6" t="n">
        <f aca="false">SUM(C49:R49)</f>
        <v>389</v>
      </c>
      <c r="T49" s="11" t="n">
        <f aca="false">S49-'Item Catalog'!$M$49</f>
        <v>0</v>
      </c>
    </row>
    <row r="50" customFormat="false" ht="15" hidden="false" customHeight="false" outlineLevel="0" collapsed="false">
      <c r="A50" s="6" t="str">
        <f aca="false">'Item Catalog'!$B$50</f>
        <v>ITM-048 · FAUCET REPLACEMENT - 5 GAL SLIM</v>
      </c>
      <c r="B50" s="6" t="str">
        <f aca="false">'Item Catalog'!$C$50</f>
        <v>FAUCET REPLACEMENT - 5 GAL SLIM</v>
      </c>
      <c r="C50" s="6" t="n">
        <f aca="false">SUMIFS('Stock Movements'!$E:$E,'Stock Movements'!$C:$C,$A50,'Stock Movements'!$F:$F,C$2,'Stock Movements'!$D:$D,"Out")</f>
        <v>1</v>
      </c>
      <c r="D50" s="6" t="n">
        <f aca="false">SUMIFS('Stock Movements'!$E:$E,'Stock Movements'!$C:$C,$A50,'Stock Movements'!$F:$F,D$2,'Stock Movements'!$D:$D,"Out")</f>
        <v>0</v>
      </c>
      <c r="E50" s="6" t="n">
        <f aca="false">SUMIFS('Stock Movements'!$E:$E,'Stock Movements'!$C:$C,$A50,'Stock Movements'!$F:$F,E$2,'Stock Movements'!$D:$D,"Out")</f>
        <v>0</v>
      </c>
      <c r="F50" s="6" t="n">
        <f aca="false">SUMIFS('Stock Movements'!$E:$E,'Stock Movements'!$C:$C,$A50,'Stock Movements'!$F:$F,F$2,'Stock Movements'!$D:$D,"Out")</f>
        <v>0</v>
      </c>
      <c r="G50" s="6" t="n">
        <f aca="false">SUMIFS('Stock Movements'!$E:$E,'Stock Movements'!$C:$C,$A50,'Stock Movements'!$F:$F,G$2,'Stock Movements'!$D:$D,"Out")</f>
        <v>0</v>
      </c>
      <c r="H50" s="6" t="n">
        <f aca="false">SUMIFS('Stock Movements'!$E:$E,'Stock Movements'!$C:$C,$A50,'Stock Movements'!$F:$F,H$2,'Stock Movements'!$D:$D,"Out")</f>
        <v>0</v>
      </c>
      <c r="I50" s="6" t="n">
        <f aca="false">SUMIFS('Stock Movements'!$E:$E,'Stock Movements'!$C:$C,$A50,'Stock Movements'!$F:$F,I$2,'Stock Movements'!$D:$D,"Out")</f>
        <v>0</v>
      </c>
      <c r="J50" s="6" t="n">
        <f aca="false">SUMIFS('Stock Movements'!$E:$E,'Stock Movements'!$C:$C,$A50,'Stock Movements'!$F:$F,J$2,'Stock Movements'!$D:$D,"Out")</f>
        <v>0</v>
      </c>
      <c r="K50" s="6" t="n">
        <f aca="false">SUMIFS('Stock Movements'!$E:$E,'Stock Movements'!$C:$C,$A50,'Stock Movements'!$F:$F,K$2,'Stock Movements'!$D:$D,"Out")</f>
        <v>0</v>
      </c>
      <c r="L50" s="6" t="n">
        <f aca="false">SUMIFS('Stock Movements'!$E:$E,'Stock Movements'!$C:$C,$A50,'Stock Movements'!$F:$F,L$2,'Stock Movements'!$D:$D,"Out")</f>
        <v>0</v>
      </c>
      <c r="M50" s="6" t="n">
        <f aca="false">SUMIFS('Stock Movements'!$E:$E,'Stock Movements'!$C:$C,$A50,'Stock Movements'!$F:$F,M$2,'Stock Movements'!$D:$D,"Out")</f>
        <v>0</v>
      </c>
      <c r="N50" s="6" t="n">
        <f aca="false">SUMIFS('Stock Movements'!$E:$E,'Stock Movements'!$C:$C,$A50,'Stock Movements'!$F:$F,N$2,'Stock Movements'!$D:$D,"Out")</f>
        <v>0</v>
      </c>
      <c r="O50" s="6" t="n">
        <f aca="false">SUMIFS('Stock Movements'!$E:$E,'Stock Movements'!$C:$C,$A50,'Stock Movements'!$F:$F,O$2,'Stock Movements'!$D:$D,"Out")</f>
        <v>0</v>
      </c>
      <c r="P50" s="6" t="n">
        <f aca="false">SUMIFS('Stock Movements'!$E:$E,'Stock Movements'!$C:$C,$A50,'Stock Movements'!$F:$F,P$2,'Stock Movements'!$D:$D,"Out")</f>
        <v>0</v>
      </c>
      <c r="Q50" s="6" t="n">
        <f aca="false">SUMIFS('Stock Movements'!$E:$E,'Stock Movements'!$C:$C,$A50,'Stock Movements'!$F:$F,Q$2,'Stock Movements'!$D:$D,"Out")</f>
        <v>1</v>
      </c>
      <c r="R50" s="6" t="n">
        <f aca="false">SUMIFS('Stock Movements'!$E:$E,'Stock Movements'!$C:$C,$A50,'Stock Movements'!$F:$F,R$2,'Stock Movements'!$D:$D,"Out")</f>
        <v>0</v>
      </c>
      <c r="S50" s="6" t="n">
        <f aca="false">SUM(C50:R50)</f>
        <v>2</v>
      </c>
      <c r="T50" s="11" t="n">
        <f aca="false">S50-'Item Catalog'!$M$50</f>
        <v>0</v>
      </c>
    </row>
    <row r="51" customFormat="false" ht="15" hidden="false" customHeight="false" outlineLevel="0" collapsed="false">
      <c r="A51" s="6" t="str">
        <f aca="false">'Item Catalog'!$B$51</f>
        <v>ITM-049 · WHITE CAP REPLACEMENT - 5 GAL SLIM</v>
      </c>
      <c r="B51" s="6" t="str">
        <f aca="false">'Item Catalog'!$C$51</f>
        <v>WHITE CAP REPLACEMENT - 5 GAL SLIM</v>
      </c>
      <c r="C51" s="6" t="n">
        <f aca="false">SUMIFS('Stock Movements'!$E:$E,'Stock Movements'!$C:$C,$A51,'Stock Movements'!$F:$F,C$2,'Stock Movements'!$D:$D,"Out")</f>
        <v>0</v>
      </c>
      <c r="D51" s="6" t="n">
        <f aca="false">SUMIFS('Stock Movements'!$E:$E,'Stock Movements'!$C:$C,$A51,'Stock Movements'!$F:$F,D$2,'Stock Movements'!$D:$D,"Out")</f>
        <v>0</v>
      </c>
      <c r="E51" s="6" t="n">
        <f aca="false">SUMIFS('Stock Movements'!$E:$E,'Stock Movements'!$C:$C,$A51,'Stock Movements'!$F:$F,E$2,'Stock Movements'!$D:$D,"Out")</f>
        <v>0</v>
      </c>
      <c r="F51" s="6" t="n">
        <f aca="false">SUMIFS('Stock Movements'!$E:$E,'Stock Movements'!$C:$C,$A51,'Stock Movements'!$F:$F,F$2,'Stock Movements'!$D:$D,"Out")</f>
        <v>0</v>
      </c>
      <c r="G51" s="6" t="n">
        <f aca="false">SUMIFS('Stock Movements'!$E:$E,'Stock Movements'!$C:$C,$A51,'Stock Movements'!$F:$F,G$2,'Stock Movements'!$D:$D,"Out")</f>
        <v>0</v>
      </c>
      <c r="H51" s="6" t="n">
        <f aca="false">SUMIFS('Stock Movements'!$E:$E,'Stock Movements'!$C:$C,$A51,'Stock Movements'!$F:$F,H$2,'Stock Movements'!$D:$D,"Out")</f>
        <v>0</v>
      </c>
      <c r="I51" s="6" t="n">
        <f aca="false">SUMIFS('Stock Movements'!$E:$E,'Stock Movements'!$C:$C,$A51,'Stock Movements'!$F:$F,I$2,'Stock Movements'!$D:$D,"Out")</f>
        <v>100</v>
      </c>
      <c r="J51" s="6" t="n">
        <f aca="false">SUMIFS('Stock Movements'!$E:$E,'Stock Movements'!$C:$C,$A51,'Stock Movements'!$F:$F,J$2,'Stock Movements'!$D:$D,"Out")</f>
        <v>0</v>
      </c>
      <c r="K51" s="6" t="n">
        <f aca="false">SUMIFS('Stock Movements'!$E:$E,'Stock Movements'!$C:$C,$A51,'Stock Movements'!$F:$F,K$2,'Stock Movements'!$D:$D,"Out")</f>
        <v>0</v>
      </c>
      <c r="L51" s="6" t="n">
        <f aca="false">SUMIFS('Stock Movements'!$E:$E,'Stock Movements'!$C:$C,$A51,'Stock Movements'!$F:$F,L$2,'Stock Movements'!$D:$D,"Out")</f>
        <v>0</v>
      </c>
      <c r="M51" s="6" t="n">
        <f aca="false">SUMIFS('Stock Movements'!$E:$E,'Stock Movements'!$C:$C,$A51,'Stock Movements'!$F:$F,M$2,'Stock Movements'!$D:$D,"Out")</f>
        <v>0</v>
      </c>
      <c r="N51" s="6" t="n">
        <f aca="false">SUMIFS('Stock Movements'!$E:$E,'Stock Movements'!$C:$C,$A51,'Stock Movements'!$F:$F,N$2,'Stock Movements'!$D:$D,"Out")</f>
        <v>0</v>
      </c>
      <c r="O51" s="6" t="n">
        <f aca="false">SUMIFS('Stock Movements'!$E:$E,'Stock Movements'!$C:$C,$A51,'Stock Movements'!$F:$F,O$2,'Stock Movements'!$D:$D,"Out")</f>
        <v>0</v>
      </c>
      <c r="P51" s="6" t="n">
        <f aca="false">SUMIFS('Stock Movements'!$E:$E,'Stock Movements'!$C:$C,$A51,'Stock Movements'!$F:$F,P$2,'Stock Movements'!$D:$D,"Out")</f>
        <v>0</v>
      </c>
      <c r="Q51" s="6" t="n">
        <f aca="false">SUMIFS('Stock Movements'!$E:$E,'Stock Movements'!$C:$C,$A51,'Stock Movements'!$F:$F,Q$2,'Stock Movements'!$D:$D,"Out")</f>
        <v>0</v>
      </c>
      <c r="R51" s="6" t="n">
        <f aca="false">SUMIFS('Stock Movements'!$E:$E,'Stock Movements'!$C:$C,$A51,'Stock Movements'!$F:$F,R$2,'Stock Movements'!$D:$D,"Out")</f>
        <v>0</v>
      </c>
      <c r="S51" s="6" t="n">
        <f aca="false">SUM(C51:R51)</f>
        <v>100</v>
      </c>
      <c r="T51" s="11" t="n">
        <f aca="false">S51-'Item Catalog'!$M$51</f>
        <v>0</v>
      </c>
    </row>
    <row r="52" customFormat="false" ht="15" hidden="false" customHeight="false" outlineLevel="0" collapsed="false">
      <c r="A52" s="6" t="str">
        <f aca="false">'Item Catalog'!$B$52</f>
        <v>ITM-050 · CAP NON SPILL T-BACK - 5 GAL PET ROUND</v>
      </c>
      <c r="B52" s="6" t="str">
        <f aca="false">'Item Catalog'!$C$52</f>
        <v>CAP NON SPILL T-BACK - 5 GAL PET ROUND</v>
      </c>
      <c r="C52" s="6" t="n">
        <f aca="false">SUMIFS('Stock Movements'!$E:$E,'Stock Movements'!$C:$C,$A52,'Stock Movements'!$F:$F,C$2,'Stock Movements'!$D:$D,"Out")</f>
        <v>11</v>
      </c>
      <c r="D52" s="6" t="n">
        <f aca="false">SUMIFS('Stock Movements'!$E:$E,'Stock Movements'!$C:$C,$A52,'Stock Movements'!$F:$F,D$2,'Stock Movements'!$D:$D,"Out")</f>
        <v>6</v>
      </c>
      <c r="E52" s="6" t="n">
        <f aca="false">SUMIFS('Stock Movements'!$E:$E,'Stock Movements'!$C:$C,$A52,'Stock Movements'!$F:$F,E$2,'Stock Movements'!$D:$D,"Out")</f>
        <v>0</v>
      </c>
      <c r="F52" s="6" t="n">
        <f aca="false">SUMIFS('Stock Movements'!$E:$E,'Stock Movements'!$C:$C,$A52,'Stock Movements'!$F:$F,F$2,'Stock Movements'!$D:$D,"Out")</f>
        <v>0</v>
      </c>
      <c r="G52" s="6" t="n">
        <f aca="false">SUMIFS('Stock Movements'!$E:$E,'Stock Movements'!$C:$C,$A52,'Stock Movements'!$F:$F,G$2,'Stock Movements'!$D:$D,"Out")</f>
        <v>15</v>
      </c>
      <c r="H52" s="6" t="n">
        <f aca="false">SUMIFS('Stock Movements'!$E:$E,'Stock Movements'!$C:$C,$A52,'Stock Movements'!$F:$F,H$2,'Stock Movements'!$D:$D,"Out")</f>
        <v>0</v>
      </c>
      <c r="I52" s="6" t="n">
        <f aca="false">SUMIFS('Stock Movements'!$E:$E,'Stock Movements'!$C:$C,$A52,'Stock Movements'!$F:$F,I$2,'Stock Movements'!$D:$D,"Out")</f>
        <v>0</v>
      </c>
      <c r="J52" s="6" t="n">
        <f aca="false">SUMIFS('Stock Movements'!$E:$E,'Stock Movements'!$C:$C,$A52,'Stock Movements'!$F:$F,J$2,'Stock Movements'!$D:$D,"Out")</f>
        <v>0</v>
      </c>
      <c r="K52" s="6" t="n">
        <f aca="false">SUMIFS('Stock Movements'!$E:$E,'Stock Movements'!$C:$C,$A52,'Stock Movements'!$F:$F,K$2,'Stock Movements'!$D:$D,"Out")</f>
        <v>0</v>
      </c>
      <c r="L52" s="6" t="n">
        <f aca="false">SUMIFS('Stock Movements'!$E:$E,'Stock Movements'!$C:$C,$A52,'Stock Movements'!$F:$F,L$2,'Stock Movements'!$D:$D,"Out")</f>
        <v>0</v>
      </c>
      <c r="M52" s="6" t="n">
        <f aca="false">SUMIFS('Stock Movements'!$E:$E,'Stock Movements'!$C:$C,$A52,'Stock Movements'!$F:$F,M$2,'Stock Movements'!$D:$D,"Out")</f>
        <v>0</v>
      </c>
      <c r="N52" s="6" t="n">
        <f aca="false">SUMIFS('Stock Movements'!$E:$E,'Stock Movements'!$C:$C,$A52,'Stock Movements'!$F:$F,N$2,'Stock Movements'!$D:$D,"Out")</f>
        <v>0</v>
      </c>
      <c r="O52" s="6" t="n">
        <f aca="false">SUMIFS('Stock Movements'!$E:$E,'Stock Movements'!$C:$C,$A52,'Stock Movements'!$F:$F,O$2,'Stock Movements'!$D:$D,"Out")</f>
        <v>0</v>
      </c>
      <c r="P52" s="6" t="n">
        <f aca="false">SUMIFS('Stock Movements'!$E:$E,'Stock Movements'!$C:$C,$A52,'Stock Movements'!$F:$F,P$2,'Stock Movements'!$D:$D,"Out")</f>
        <v>0</v>
      </c>
      <c r="Q52" s="6" t="n">
        <f aca="false">SUMIFS('Stock Movements'!$E:$E,'Stock Movements'!$C:$C,$A52,'Stock Movements'!$F:$F,Q$2,'Stock Movements'!$D:$D,"Out")</f>
        <v>0</v>
      </c>
      <c r="R52" s="6" t="n">
        <f aca="false">SUMIFS('Stock Movements'!$E:$E,'Stock Movements'!$C:$C,$A52,'Stock Movements'!$F:$F,R$2,'Stock Movements'!$D:$D,"Out")</f>
        <v>0</v>
      </c>
      <c r="S52" s="6" t="n">
        <f aca="false">SUM(C52:R52)</f>
        <v>32</v>
      </c>
      <c r="T52" s="11" t="n">
        <f aca="false">S52-'Item Catalog'!$M$52</f>
        <v>0</v>
      </c>
    </row>
    <row r="53" customFormat="false" ht="15" hidden="false" customHeight="false" outlineLevel="0" collapsed="false">
      <c r="A53" s="6" t="str">
        <f aca="false">'Item Catalog'!$B$53</f>
        <v>ITM-051 · HOT AND COLD LIVINGWATER</v>
      </c>
      <c r="B53" s="6" t="str">
        <f aca="false">'Item Catalog'!$C$53</f>
        <v>HOT AND COLD LIVINGWATER</v>
      </c>
      <c r="C53" s="6" t="n">
        <f aca="false">SUMIFS('Stock Movements'!$E:$E,'Stock Movements'!$C:$C,$A53,'Stock Movements'!$F:$F,C$2,'Stock Movements'!$D:$D,"Out")</f>
        <v>0</v>
      </c>
      <c r="D53" s="6" t="n">
        <f aca="false">SUMIFS('Stock Movements'!$E:$E,'Stock Movements'!$C:$C,$A53,'Stock Movements'!$F:$F,D$2,'Stock Movements'!$D:$D,"Out")</f>
        <v>0</v>
      </c>
      <c r="E53" s="6" t="n">
        <f aca="false">SUMIFS('Stock Movements'!$E:$E,'Stock Movements'!$C:$C,$A53,'Stock Movements'!$F:$F,E$2,'Stock Movements'!$D:$D,"Out")</f>
        <v>0</v>
      </c>
      <c r="F53" s="6" t="n">
        <f aca="false">SUMIFS('Stock Movements'!$E:$E,'Stock Movements'!$C:$C,$A53,'Stock Movements'!$F:$F,F$2,'Stock Movements'!$D:$D,"Out")</f>
        <v>0</v>
      </c>
      <c r="G53" s="6" t="n">
        <f aca="false">SUMIFS('Stock Movements'!$E:$E,'Stock Movements'!$C:$C,$A53,'Stock Movements'!$F:$F,G$2,'Stock Movements'!$D:$D,"Out")</f>
        <v>0</v>
      </c>
      <c r="H53" s="6" t="n">
        <f aca="false">SUMIFS('Stock Movements'!$E:$E,'Stock Movements'!$C:$C,$A53,'Stock Movements'!$F:$F,H$2,'Stock Movements'!$D:$D,"Out")</f>
        <v>0</v>
      </c>
      <c r="I53" s="6" t="n">
        <f aca="false">SUMIFS('Stock Movements'!$E:$E,'Stock Movements'!$C:$C,$A53,'Stock Movements'!$F:$F,I$2,'Stock Movements'!$D:$D,"Out")</f>
        <v>0</v>
      </c>
      <c r="J53" s="6" t="n">
        <f aca="false">SUMIFS('Stock Movements'!$E:$E,'Stock Movements'!$C:$C,$A53,'Stock Movements'!$F:$F,J$2,'Stock Movements'!$D:$D,"Out")</f>
        <v>0</v>
      </c>
      <c r="K53" s="6" t="n">
        <f aca="false">SUMIFS('Stock Movements'!$E:$E,'Stock Movements'!$C:$C,$A53,'Stock Movements'!$F:$F,K$2,'Stock Movements'!$D:$D,"Out")</f>
        <v>0</v>
      </c>
      <c r="L53" s="6" t="n">
        <f aca="false">SUMIFS('Stock Movements'!$E:$E,'Stock Movements'!$C:$C,$A53,'Stock Movements'!$F:$F,L$2,'Stock Movements'!$D:$D,"Out")</f>
        <v>0</v>
      </c>
      <c r="M53" s="6" t="n">
        <f aca="false">SUMIFS('Stock Movements'!$E:$E,'Stock Movements'!$C:$C,$A53,'Stock Movements'!$F:$F,M$2,'Stock Movements'!$D:$D,"Out")</f>
        <v>0</v>
      </c>
      <c r="N53" s="6" t="n">
        <f aca="false">SUMIFS('Stock Movements'!$E:$E,'Stock Movements'!$C:$C,$A53,'Stock Movements'!$F:$F,N$2,'Stock Movements'!$D:$D,"Out")</f>
        <v>0</v>
      </c>
      <c r="O53" s="6" t="n">
        <f aca="false">SUMIFS('Stock Movements'!$E:$E,'Stock Movements'!$C:$C,$A53,'Stock Movements'!$F:$F,O$2,'Stock Movements'!$D:$D,"Out")</f>
        <v>0</v>
      </c>
      <c r="P53" s="6" t="n">
        <f aca="false">SUMIFS('Stock Movements'!$E:$E,'Stock Movements'!$C:$C,$A53,'Stock Movements'!$F:$F,P$2,'Stock Movements'!$D:$D,"Out")</f>
        <v>0</v>
      </c>
      <c r="Q53" s="6" t="n">
        <f aca="false">SUMIFS('Stock Movements'!$E:$E,'Stock Movements'!$C:$C,$A53,'Stock Movements'!$F:$F,Q$2,'Stock Movements'!$D:$D,"Out")</f>
        <v>0</v>
      </c>
      <c r="R53" s="6" t="n">
        <f aca="false">SUMIFS('Stock Movements'!$E:$E,'Stock Movements'!$C:$C,$A53,'Stock Movements'!$F:$F,R$2,'Stock Movements'!$D:$D,"Out")</f>
        <v>0</v>
      </c>
      <c r="S53" s="6" t="n">
        <f aca="false">SUM(C53:R53)</f>
        <v>0</v>
      </c>
      <c r="T53" s="11" t="n">
        <f aca="false">S53-'Item Catalog'!$M$53</f>
        <v>0</v>
      </c>
    </row>
  </sheetData>
  <mergeCells count="1">
    <mergeCell ref="A1:T1"/>
  </mergeCells>
  <conditionalFormatting sqref="T3:T53">
    <cfRule type="expression" priority="2" aboveAverage="0" equalAverage="0" bottom="0" percent="0" rank="0" text="" dxfId="5">
      <formula>T3&lt;&gt;0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13"/>
    <col collapsed="false" customWidth="true" hidden="false" outlineLevel="0" max="7" min="7" style="0" width="38"/>
  </cols>
  <sheetData>
    <row r="1" customFormat="false" ht="25.5" hidden="false" customHeight="true" outlineLevel="0" collapsed="false">
      <c r="A1" s="1" t="s">
        <v>433</v>
      </c>
      <c r="B1" s="1"/>
      <c r="C1" s="1"/>
      <c r="D1" s="1"/>
      <c r="E1" s="1"/>
      <c r="F1" s="1"/>
      <c r="G1" s="1"/>
    </row>
    <row r="2" customFormat="false" ht="15" hidden="false" customHeight="false" outlineLevel="0" collapsed="false">
      <c r="A2" s="5" t="s">
        <v>434</v>
      </c>
      <c r="B2" s="5" t="s">
        <v>435</v>
      </c>
      <c r="C2" s="5" t="s">
        <v>436</v>
      </c>
      <c r="D2" s="5" t="s">
        <v>437</v>
      </c>
      <c r="E2" s="5" t="s">
        <v>438</v>
      </c>
      <c r="F2" s="5" t="s">
        <v>439</v>
      </c>
      <c r="G2" s="5" t="s">
        <v>192</v>
      </c>
    </row>
    <row r="3" customFormat="false" ht="15" hidden="false" customHeight="false" outlineLevel="0" collapsed="false">
      <c r="A3" s="6" t="s">
        <v>440</v>
      </c>
      <c r="B3" s="6" t="s">
        <v>441</v>
      </c>
      <c r="C3" s="6" t="s">
        <v>442</v>
      </c>
      <c r="D3" s="7" t="n">
        <v>250480</v>
      </c>
      <c r="E3" s="7"/>
      <c r="F3" s="7" t="n">
        <f aca="false">SUM(D3:E3)</f>
        <v>250480</v>
      </c>
      <c r="G3" s="6" t="s">
        <v>443</v>
      </c>
    </row>
    <row r="4" customFormat="false" ht="15" hidden="false" customHeight="false" outlineLevel="0" collapsed="false">
      <c r="A4" s="6" t="s">
        <v>444</v>
      </c>
      <c r="B4" s="6" t="s">
        <v>445</v>
      </c>
      <c r="C4" s="6" t="s">
        <v>442</v>
      </c>
      <c r="D4" s="7" t="n">
        <v>63988</v>
      </c>
      <c r="E4" s="7"/>
      <c r="F4" s="7" t="n">
        <f aca="false">SUM(D4:E4)</f>
        <v>63988</v>
      </c>
      <c r="G4" s="6" t="s">
        <v>446</v>
      </c>
    </row>
    <row r="5" customFormat="false" ht="15" hidden="false" customHeight="false" outlineLevel="0" collapsed="false">
      <c r="A5" s="6" t="s">
        <v>447</v>
      </c>
      <c r="B5" s="6" t="s">
        <v>448</v>
      </c>
      <c r="C5" s="6" t="s">
        <v>442</v>
      </c>
      <c r="D5" s="7"/>
      <c r="E5" s="7" t="n">
        <v>16000</v>
      </c>
      <c r="F5" s="7" t="n">
        <f aca="false">SUM(D5:E5)</f>
        <v>16000</v>
      </c>
      <c r="G5" s="6" t="s">
        <v>449</v>
      </c>
    </row>
    <row r="6" customFormat="false" ht="15" hidden="false" customHeight="false" outlineLevel="0" collapsed="false">
      <c r="A6" s="6" t="s">
        <v>450</v>
      </c>
      <c r="B6" s="6" t="s">
        <v>451</v>
      </c>
      <c r="C6" s="6" t="s">
        <v>452</v>
      </c>
      <c r="D6" s="7" t="n">
        <v>50085</v>
      </c>
      <c r="E6" s="7"/>
      <c r="F6" s="7" t="n">
        <f aca="false">SUM(D6:E6)</f>
        <v>50085</v>
      </c>
      <c r="G6" s="6"/>
    </row>
    <row r="7" customFormat="false" ht="15" hidden="false" customHeight="false" outlineLevel="0" collapsed="false">
      <c r="A7" s="6" t="s">
        <v>450</v>
      </c>
      <c r="B7" s="6" t="s">
        <v>451</v>
      </c>
      <c r="C7" s="6" t="s">
        <v>452</v>
      </c>
      <c r="D7" s="7"/>
      <c r="E7" s="7" t="n">
        <v>12300</v>
      </c>
      <c r="F7" s="7" t="n">
        <f aca="false">SUM(D7:E7)</f>
        <v>12300</v>
      </c>
      <c r="G7" s="6" t="s">
        <v>453</v>
      </c>
    </row>
    <row r="8" customFormat="false" ht="15" hidden="false" customHeight="false" outlineLevel="0" collapsed="false">
      <c r="A8" s="6" t="s">
        <v>454</v>
      </c>
      <c r="B8" s="6" t="s">
        <v>455</v>
      </c>
      <c r="C8" s="6" t="s">
        <v>456</v>
      </c>
      <c r="D8" s="7" t="n">
        <v>50210</v>
      </c>
      <c r="E8" s="7"/>
      <c r="F8" s="7" t="n">
        <f aca="false">SUM(D8:E8)</f>
        <v>50210</v>
      </c>
      <c r="G8" s="6"/>
    </row>
    <row r="9" customFormat="false" ht="15" hidden="false" customHeight="false" outlineLevel="0" collapsed="false">
      <c r="A9" s="6" t="s">
        <v>454</v>
      </c>
      <c r="B9" s="6" t="s">
        <v>455</v>
      </c>
      <c r="C9" s="6" t="s">
        <v>456</v>
      </c>
      <c r="D9" s="7"/>
      <c r="E9" s="7" t="n">
        <v>11615</v>
      </c>
      <c r="F9" s="7" t="n">
        <f aca="false">SUM(D9:E9)</f>
        <v>11615</v>
      </c>
      <c r="G9" s="6" t="s">
        <v>457</v>
      </c>
    </row>
    <row r="10" customFormat="false" ht="15" hidden="false" customHeight="false" outlineLevel="0" collapsed="false">
      <c r="A10" s="6" t="s">
        <v>458</v>
      </c>
      <c r="B10" s="6" t="s">
        <v>459</v>
      </c>
      <c r="C10" s="6" t="s">
        <v>194</v>
      </c>
      <c r="D10" s="7" t="n">
        <v>55186</v>
      </c>
      <c r="E10" s="7"/>
      <c r="F10" s="7" t="n">
        <f aca="false">SUM(D10:E10)</f>
        <v>55186</v>
      </c>
      <c r="G10" s="6"/>
    </row>
    <row r="11" customFormat="false" ht="15" hidden="false" customHeight="false" outlineLevel="0" collapsed="false">
      <c r="A11" s="6" t="s">
        <v>458</v>
      </c>
      <c r="B11" s="6" t="s">
        <v>459</v>
      </c>
      <c r="C11" s="6" t="s">
        <v>194</v>
      </c>
      <c r="D11" s="7"/>
      <c r="E11" s="7" t="n">
        <v>12700</v>
      </c>
      <c r="F11" s="7" t="n">
        <f aca="false">SUM(D11:E11)</f>
        <v>12700</v>
      </c>
      <c r="G11" s="6" t="s">
        <v>460</v>
      </c>
    </row>
    <row r="13" customFormat="false" ht="15" hidden="false" customHeight="false" outlineLevel="0" collapsed="false">
      <c r="A13" s="12"/>
      <c r="B13" s="12"/>
      <c r="C13" s="13" t="s">
        <v>461</v>
      </c>
      <c r="D13" s="12"/>
      <c r="E13" s="12"/>
      <c r="F13" s="14" t="n">
        <f aca="false">SUM(F3:F11)</f>
        <v>522564</v>
      </c>
      <c r="G13" s="12"/>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s>
  <sheetData>
    <row r="1" customFormat="false" ht="25.5" hidden="false" customHeight="true" outlineLevel="0" collapsed="false">
      <c r="A1" s="1" t="s">
        <v>462</v>
      </c>
      <c r="B1" s="1"/>
    </row>
    <row r="2" customFormat="false" ht="15" hidden="false" customHeight="false" outlineLevel="0" collapsed="false">
      <c r="A2" s="5" t="s">
        <v>463</v>
      </c>
      <c r="B2" s="5" t="s">
        <v>464</v>
      </c>
    </row>
    <row r="3" customFormat="false" ht="15" hidden="false" customHeight="false" outlineLevel="0" collapsed="false">
      <c r="A3" s="6" t="s">
        <v>201</v>
      </c>
      <c r="B3" s="15" t="b">
        <f aca="false">TRUE()</f>
        <v>1</v>
      </c>
    </row>
    <row r="4" customFormat="false" ht="15" hidden="false" customHeight="false" outlineLevel="0" collapsed="false">
      <c r="A4" s="6" t="s">
        <v>204</v>
      </c>
      <c r="B4" s="15" t="b">
        <f aca="false">FALSE()</f>
        <v>0</v>
      </c>
    </row>
    <row r="5" customFormat="false" ht="15" hidden="false" customHeight="false" outlineLevel="0" collapsed="false">
      <c r="A5" s="6" t="s">
        <v>361</v>
      </c>
      <c r="B5" s="15" t="b">
        <f aca="false">FALSE()</f>
        <v>0</v>
      </c>
    </row>
    <row r="6" customFormat="false" ht="15" hidden="false" customHeight="false" outlineLevel="0" collapsed="false">
      <c r="A6" s="6" t="s">
        <v>430</v>
      </c>
      <c r="B6" s="15" t="b">
        <f aca="false">FALSE()</f>
        <v>0</v>
      </c>
    </row>
    <row r="7" customFormat="false" ht="15" hidden="false" customHeight="false" outlineLevel="0" collapsed="false">
      <c r="A7" s="6" t="s">
        <v>206</v>
      </c>
      <c r="B7" s="15" t="b">
        <f aca="false">FALSE()</f>
        <v>0</v>
      </c>
    </row>
    <row r="8" customFormat="false" ht="15" hidden="false" customHeight="false" outlineLevel="0" collapsed="false">
      <c r="A8" s="6" t="s">
        <v>208</v>
      </c>
      <c r="B8" s="15" t="b">
        <f aca="false">FALSE()</f>
        <v>0</v>
      </c>
    </row>
    <row r="9" customFormat="false" ht="15" hidden="false" customHeight="false" outlineLevel="0" collapsed="false">
      <c r="A9" s="6" t="s">
        <v>263</v>
      </c>
      <c r="B9" s="15" t="b">
        <f aca="false">FALSE()</f>
        <v>0</v>
      </c>
    </row>
    <row r="10" customFormat="false" ht="15" hidden="false" customHeight="false" outlineLevel="0" collapsed="false">
      <c r="A10" s="6" t="s">
        <v>210</v>
      </c>
      <c r="B10" s="15" t="b">
        <f aca="false">FALSE()</f>
        <v>0</v>
      </c>
    </row>
    <row r="11" customFormat="false" ht="15" hidden="false" customHeight="false" outlineLevel="0" collapsed="false">
      <c r="A11" s="6" t="s">
        <v>212</v>
      </c>
      <c r="B11" s="15" t="b">
        <f aca="false">FALSE()</f>
        <v>0</v>
      </c>
    </row>
    <row r="12" customFormat="false" ht="15" hidden="false" customHeight="false" outlineLevel="0" collapsed="false">
      <c r="A12" s="6" t="s">
        <v>214</v>
      </c>
      <c r="B12" s="15" t="b">
        <f aca="false">FALSE()</f>
        <v>0</v>
      </c>
    </row>
    <row r="13" customFormat="false" ht="15" hidden="false" customHeight="false" outlineLevel="0" collapsed="false">
      <c r="A13" s="6" t="s">
        <v>216</v>
      </c>
      <c r="B13" s="15" t="b">
        <f aca="false">FALSE()</f>
        <v>0</v>
      </c>
    </row>
    <row r="14" customFormat="false" ht="15" hidden="false" customHeight="false" outlineLevel="0" collapsed="false">
      <c r="A14" s="6" t="s">
        <v>218</v>
      </c>
      <c r="B14" s="15" t="b">
        <f aca="false">FALSE()</f>
        <v>0</v>
      </c>
    </row>
    <row r="15" customFormat="false" ht="15" hidden="false" customHeight="false" outlineLevel="0" collapsed="false">
      <c r="A15" s="6" t="s">
        <v>273</v>
      </c>
      <c r="B15" s="15" t="b">
        <f aca="false">FALSE()</f>
        <v>0</v>
      </c>
    </row>
    <row r="16" customFormat="false" ht="15" hidden="false" customHeight="false" outlineLevel="0" collapsed="false">
      <c r="A16" s="6" t="s">
        <v>286</v>
      </c>
      <c r="B16" s="15" t="b">
        <f aca="false">FALSE()</f>
        <v>0</v>
      </c>
    </row>
    <row r="17" customFormat="false" ht="15" hidden="false" customHeight="false" outlineLevel="0" collapsed="false">
      <c r="A17" s="6" t="s">
        <v>220</v>
      </c>
      <c r="B17" s="15" t="b">
        <f aca="false">FALSE()</f>
        <v>0</v>
      </c>
    </row>
    <row r="18" customFormat="false" ht="15" hidden="false" customHeight="false" outlineLevel="0" collapsed="false">
      <c r="A18" s="0" t="s">
        <v>289</v>
      </c>
      <c r="B18" s="16" t="b">
        <f aca="false">FALSE()</f>
        <v>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s>
  <sheetData>
    <row r="1" customFormat="false" ht="25.5" hidden="false" customHeight="true" outlineLevel="0" collapsed="false">
      <c r="A1" s="17" t="s">
        <v>465</v>
      </c>
    </row>
    <row r="2" customFormat="false" ht="15" hidden="false" customHeight="false" outlineLevel="0" collapsed="false">
      <c r="A2" s="5" t="s">
        <v>16</v>
      </c>
    </row>
    <row r="3" customFormat="false" ht="15" hidden="false" customHeight="false" outlineLevel="0" collapsed="false">
      <c r="A3" s="6" t="s">
        <v>31</v>
      </c>
    </row>
    <row r="4" customFormat="false" ht="15" hidden="false" customHeight="false" outlineLevel="0" collapsed="false">
      <c r="A4" s="6" t="s">
        <v>50</v>
      </c>
    </row>
    <row r="5" customFormat="false" ht="15" hidden="false" customHeight="false" outlineLevel="0" collapsed="false">
      <c r="A5" s="6" t="s">
        <v>81</v>
      </c>
    </row>
    <row r="6" customFormat="false" ht="15" hidden="false" customHeight="false" outlineLevel="0" collapsed="false">
      <c r="A6" s="6" t="s">
        <v>88</v>
      </c>
    </row>
    <row r="7" customFormat="false" ht="15" hidden="false" customHeight="false" outlineLevel="0" collapsed="false">
      <c r="A7" s="6" t="s">
        <v>96</v>
      </c>
    </row>
    <row r="8" customFormat="false" ht="15" hidden="false" customHeight="false" outlineLevel="0" collapsed="false">
      <c r="A8" s="6" t="s">
        <v>131</v>
      </c>
    </row>
    <row r="9" customFormat="false" ht="15" hidden="false" customHeight="false" outlineLevel="0" collapsed="false">
      <c r="A9" s="6" t="s">
        <v>145</v>
      </c>
    </row>
    <row r="10" customFormat="false" ht="15" hidden="false" customHeight="false" outlineLevel="0" collapsed="false">
      <c r="A10" s="6" t="s">
        <v>162</v>
      </c>
    </row>
    <row r="11" customFormat="false" ht="15" hidden="false" customHeight="false" outlineLevel="0" collapsed="false">
      <c r="A11" s="6" t="s">
        <v>167</v>
      </c>
    </row>
    <row r="12" customFormat="false" ht="15" hidden="false" customHeight="false" outlineLevel="0" collapsed="false">
      <c r="A12" s="0"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2026-08-31T20:47:33Z</dcterms:created>
  <dc:creator>openpyxl</dc:creator>
  <dc:description/>
  <dc:language>en-US</dc:language>
  <cp:lastModifiedBy/>
  <dcterms:modified xsi:type="dcterms:W3CDTF">2026-08-31T20:48:38Z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